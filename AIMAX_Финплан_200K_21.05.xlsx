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Мой диск\AIMAX\"/>
    </mc:Choice>
  </mc:AlternateContent>
  <xr:revisionPtr revIDLastSave="0" documentId="13_ncr:1_{05F0229D-5AEB-4E0F-A3C8-35B6605813FF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Сводка" sheetId="1" r:id="rId1"/>
    <sheet name="Cash Flow" sheetId="2" r:id="rId2"/>
    <sheet name="РФ Трек" sheetId="3" r:id="rId3"/>
    <sheet name="Распределение 200K" sheetId="4" r:id="rId4"/>
    <sheet name="Прогноз роста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5" l="1"/>
  <c r="J15" i="5"/>
  <c r="G15" i="5"/>
  <c r="K9" i="5"/>
  <c r="J9" i="5"/>
  <c r="G9" i="5"/>
  <c r="M8" i="5"/>
  <c r="M9" i="5" s="1"/>
  <c r="L8" i="5"/>
  <c r="L15" i="5" s="1"/>
  <c r="K8" i="5"/>
  <c r="J8" i="5"/>
  <c r="I8" i="5"/>
  <c r="I15" i="5" s="1"/>
  <c r="H8" i="5"/>
  <c r="H15" i="5" s="1"/>
  <c r="G8" i="5"/>
  <c r="F8" i="5"/>
  <c r="F15" i="5" s="1"/>
  <c r="E8" i="5"/>
  <c r="E15" i="5" s="1"/>
  <c r="D8" i="5"/>
  <c r="D15" i="5" s="1"/>
  <c r="C8" i="5"/>
  <c r="C15" i="5" s="1"/>
  <c r="B8" i="5"/>
  <c r="B15" i="5" s="1"/>
  <c r="C19" i="4"/>
  <c r="B12" i="3"/>
  <c r="C12" i="3" s="1"/>
  <c r="D12" i="3" s="1"/>
  <c r="B11" i="3"/>
  <c r="C10" i="3"/>
  <c r="B10" i="3"/>
  <c r="L8" i="3"/>
  <c r="L11" i="3" s="1"/>
  <c r="D8" i="3"/>
  <c r="D10" i="3" s="1"/>
  <c r="C8" i="3"/>
  <c r="C11" i="3" s="1"/>
  <c r="B8" i="3"/>
  <c r="M7" i="3"/>
  <c r="M8" i="3" s="1"/>
  <c r="L7" i="3"/>
  <c r="K7" i="3"/>
  <c r="K8" i="3" s="1"/>
  <c r="J7" i="3"/>
  <c r="J8" i="3" s="1"/>
  <c r="I7" i="3"/>
  <c r="I8" i="3" s="1"/>
  <c r="H7" i="3"/>
  <c r="H8" i="3" s="1"/>
  <c r="G7" i="3"/>
  <c r="G8" i="3" s="1"/>
  <c r="F7" i="3"/>
  <c r="F8" i="3" s="1"/>
  <c r="E7" i="3"/>
  <c r="E8" i="3" s="1"/>
  <c r="D7" i="3"/>
  <c r="C7" i="3"/>
  <c r="B7" i="3"/>
  <c r="N7" i="3" s="1"/>
  <c r="N5" i="3"/>
  <c r="B51" i="1" s="1"/>
  <c r="F16" i="2"/>
  <c r="N15" i="2"/>
  <c r="H12" i="2"/>
  <c r="H16" i="2" s="1"/>
  <c r="G12" i="2"/>
  <c r="G16" i="2" s="1"/>
  <c r="F12" i="2"/>
  <c r="D12" i="2"/>
  <c r="D16" i="2" s="1"/>
  <c r="M11" i="2"/>
  <c r="M12" i="2" s="1"/>
  <c r="M16" i="2" s="1"/>
  <c r="L11" i="2"/>
  <c r="L12" i="2" s="1"/>
  <c r="L16" i="2" s="1"/>
  <c r="K11" i="2"/>
  <c r="K12" i="2" s="1"/>
  <c r="K16" i="2" s="1"/>
  <c r="J11" i="2"/>
  <c r="J12" i="2" s="1"/>
  <c r="J16" i="2" s="1"/>
  <c r="I11" i="2"/>
  <c r="I12" i="2" s="1"/>
  <c r="I16" i="2" s="1"/>
  <c r="H11" i="2"/>
  <c r="G11" i="2"/>
  <c r="F11" i="2"/>
  <c r="E11" i="2"/>
  <c r="E12" i="2" s="1"/>
  <c r="E16" i="2" s="1"/>
  <c r="D11" i="2"/>
  <c r="C11" i="2"/>
  <c r="C12" i="2" s="1"/>
  <c r="C16" i="2" s="1"/>
  <c r="B11" i="2"/>
  <c r="B12" i="2" s="1"/>
  <c r="N10" i="2"/>
  <c r="N9" i="2"/>
  <c r="N8" i="2"/>
  <c r="N7" i="2"/>
  <c r="N11" i="2" s="1"/>
  <c r="B41" i="1" s="1"/>
  <c r="N5" i="2"/>
  <c r="B40" i="1" s="1"/>
  <c r="B36" i="1"/>
  <c r="C35" i="1"/>
  <c r="C34" i="1"/>
  <c r="C33" i="1"/>
  <c r="C32" i="1"/>
  <c r="C36" i="1" s="1"/>
  <c r="E11" i="3" l="1"/>
  <c r="E10" i="3"/>
  <c r="N10" i="3" s="1"/>
  <c r="B53" i="1" s="1"/>
  <c r="F11" i="3"/>
  <c r="F10" i="3"/>
  <c r="E12" i="3"/>
  <c r="F12" i="3" s="1"/>
  <c r="G12" i="3" s="1"/>
  <c r="H12" i="3" s="1"/>
  <c r="J11" i="3"/>
  <c r="J10" i="3"/>
  <c r="K11" i="3"/>
  <c r="K10" i="3"/>
  <c r="B16" i="2"/>
  <c r="B17" i="2" s="1"/>
  <c r="C17" i="2" s="1"/>
  <c r="D17" i="2" s="1"/>
  <c r="E17" i="2" s="1"/>
  <c r="F17" i="2" s="1"/>
  <c r="G17" i="2" s="1"/>
  <c r="H17" i="2" s="1"/>
  <c r="I17" i="2" s="1"/>
  <c r="J17" i="2" s="1"/>
  <c r="K17" i="2" s="1"/>
  <c r="L17" i="2" s="1"/>
  <c r="M17" i="2" s="1"/>
  <c r="B43" i="1" s="1"/>
  <c r="N12" i="2"/>
  <c r="B42" i="1" s="1"/>
  <c r="G10" i="3"/>
  <c r="G11" i="3"/>
  <c r="H11" i="3"/>
  <c r="H10" i="3"/>
  <c r="I11" i="3"/>
  <c r="I10" i="3"/>
  <c r="M11" i="3"/>
  <c r="M10" i="3"/>
  <c r="N8" i="3"/>
  <c r="B52" i="1" s="1"/>
  <c r="D11" i="3"/>
  <c r="N11" i="3" s="1"/>
  <c r="N8" i="5"/>
  <c r="M15" i="5"/>
  <c r="D9" i="5"/>
  <c r="E9" i="5"/>
  <c r="F9" i="5"/>
  <c r="L9" i="5"/>
  <c r="B9" i="5"/>
  <c r="C9" i="5"/>
  <c r="L10" i="3"/>
  <c r="H9" i="5"/>
  <c r="I9" i="5"/>
  <c r="I12" i="3" l="1"/>
  <c r="J12" i="3" s="1"/>
  <c r="K12" i="3" s="1"/>
  <c r="L12" i="3" s="1"/>
  <c r="M12" i="3" s="1"/>
</calcChain>
</file>

<file path=xl/sharedStrings.xml><?xml version="1.0" encoding="utf-8"?>
<sst xmlns="http://schemas.openxmlformats.org/spreadsheetml/2006/main" count="268" uniqueCount="216">
  <si>
    <t>AIMAX — Финансовый план под раунд инвестиций 200 000 €</t>
  </si>
  <si>
    <t>Период плана: июнь 2026 — май 2027 (12 месяцев). Базовые данные по факту на 30.04.2026.</t>
  </si>
  <si>
    <t>1. ТЕКУЩЕЕ СОСТОЯНИЕ AIMAX (по факту на 30.04.2026)</t>
  </si>
  <si>
    <t>Период наблюдения</t>
  </si>
  <si>
    <t>8 месяцев фактических данных</t>
  </si>
  <si>
    <t>Сентябрь 2025 — Апрель 2026</t>
  </si>
  <si>
    <t>Клиентов с контрактом</t>
  </si>
  <si>
    <t>Активная клиентская база</t>
  </si>
  <si>
    <t>Сумма всех контрактов (booked)</t>
  </si>
  <si>
    <t>€ — закрытые контракты, в работе и завершённые</t>
  </si>
  <si>
    <t>Оплачено (cash in)</t>
  </si>
  <si>
    <t>€ — фактические поступления</t>
  </si>
  <si>
    <t>Неоплаченный остаток по контрактам</t>
  </si>
  <si>
    <t>€ — законтрактованная будущая выручка</t>
  </si>
  <si>
    <t>Средняя месячная выручка (последние 4 мес.)</t>
  </si>
  <si>
    <t>€ — стабилизация на уровне €10K/мес</t>
  </si>
  <si>
    <t>Операционная маржа (последние 6 месяцев)</t>
  </si>
  <si>
    <t>Положительная</t>
  </si>
  <si>
    <t>Чистая прибыль 6 месяцев из 7 (с ноября 2025)</t>
  </si>
  <si>
    <t>География клиентов</t>
  </si>
  <si>
    <t>Россия, Сербия, Германия, ОАЭ, Тайланд</t>
  </si>
  <si>
    <t>5 стран</t>
  </si>
  <si>
    <t>Recurring клиентов (с регулярными платежами)</t>
  </si>
  <si>
    <t>Esnad, Payde, NeuroPublisher</t>
  </si>
  <si>
    <t>MRR (Monthly Recurring Revenue)</t>
  </si>
  <si>
    <t>€ — текущий уровень (эквивалент $8 396)</t>
  </si>
  <si>
    <t>Партнёрская сеть</t>
  </si>
  <si>
    <t>7 активных партнёров</t>
  </si>
  <si>
    <t>Agama, Maximum, Дмитрий Л., Елена Л. и др.</t>
  </si>
  <si>
    <t>Команда (full-time + part-time)</t>
  </si>
  <si>
    <t>Основатели и сотрудники</t>
  </si>
  <si>
    <t>2. СТРУКТУРА ВХОДА ИНВЕСТОРА</t>
  </si>
  <si>
    <t>Юридическая структура (международный трек)</t>
  </si>
  <si>
    <t>C-Corp (штат Делавэр, США)</t>
  </si>
  <si>
    <t>Венчурный стандарт</t>
  </si>
  <si>
    <t>Сербская операционная компания</t>
  </si>
  <si>
    <t>DOO MAYMAKS</t>
  </si>
  <si>
    <t>Сохраняется как OpCo под HoldCo</t>
  </si>
  <si>
    <t>Технологический актив</t>
  </si>
  <si>
    <t>AIMAX</t>
  </si>
  <si>
    <t>Передаётся в C-Corp до closing</t>
  </si>
  <si>
    <t>Тип входа в C-Corp</t>
  </si>
  <si>
    <t>Физическое, юридическое или иное лицо</t>
  </si>
  <si>
    <t>По выбору инвестора</t>
  </si>
  <si>
    <t>Сумма инвестиции</t>
  </si>
  <si>
    <t>€</t>
  </si>
  <si>
    <t>Доля инвестора в C-Corp</t>
  </si>
  <si>
    <t>5%</t>
  </si>
  <si>
    <t>Pre-money оценка компании</t>
  </si>
  <si>
    <t>Post-money оценка компании</t>
  </si>
  <si>
    <t>Российский трек (отдельная компания)</t>
  </si>
  <si>
    <t>50/50 распределение прибыли</t>
  </si>
  <si>
    <t>Светлана контролирует операционно</t>
  </si>
  <si>
    <t>Vesting основателей</t>
  </si>
  <si>
    <t>Стандарт венчурного раунда</t>
  </si>
  <si>
    <t>3. РАСПРЕДЕЛЕНИЕ 200 000 € ПО НАПРАВЛЕНИЯМ</t>
  </si>
  <si>
    <t>Направление</t>
  </si>
  <si>
    <t>Сумма</t>
  </si>
  <si>
    <t>Доля</t>
  </si>
  <si>
    <t>Комментарий</t>
  </si>
  <si>
    <t>Маркетинг ЕС и США</t>
  </si>
  <si>
    <t>Контент, SEO, платная реклама, PR, конференции, работа с РБК</t>
  </si>
  <si>
    <t>Расширение команды</t>
  </si>
  <si>
    <t>Sales EU, 2 разработчика, поддержка клиентов</t>
  </si>
  <si>
    <t>Технологическое усиление продукта</t>
  </si>
  <si>
    <t>Мультиязычность, GDPR, AI-инфраструктура, SOC 2 prep</t>
  </si>
  <si>
    <t>Юридическое оформление структуры</t>
  </si>
  <si>
    <t>C-Corp Делавэр, передача IP, договоры, ТМ EU+US</t>
  </si>
  <si>
    <t>ИТОГО</t>
  </si>
  <si>
    <t>4. ПРОГНОЗ КЛЮЧЕВЫХ ПОКАЗАТЕЛЕЙ (12 месяцев)</t>
  </si>
  <si>
    <t>Точка операционной безубыточности AIMAX</t>
  </si>
  <si>
    <t>Декабрь 2026 — Январь 2027</t>
  </si>
  <si>
    <t>Расходы покрываются выручкой</t>
  </si>
  <si>
    <t>Прогноз выручки AIMAX за 12 мес. (без РФ-трека)</t>
  </si>
  <si>
    <t>€ — международная компания</t>
  </si>
  <si>
    <t>Прогноз операционных расходов AIMAX за 12 мес.</t>
  </si>
  <si>
    <t>С учётом расширения команды и маркетинга</t>
  </si>
  <si>
    <t>Прогнозируемая чистая операционная прибыль</t>
  </si>
  <si>
    <t>Совокупно за период</t>
  </si>
  <si>
    <t>Денежный остаток на конец периода (май 2027)</t>
  </si>
  <si>
    <t>Запас для следующего раунда</t>
  </si>
  <si>
    <t>Прогнозируемый MRR на май 2027</t>
  </si>
  <si>
    <t>€ — рост в 2.9x от текущих €7 700</t>
  </si>
  <si>
    <t>Прогноз клиентов на май 2027</t>
  </si>
  <si>
    <t>+140% к текущей базе из 20 клиентов</t>
  </si>
  <si>
    <t>5. РОССИЙСКИЙ ТРЕК (отдельная новая компания, 50/50)</t>
  </si>
  <si>
    <t>Старт операционной деятельности</t>
  </si>
  <si>
    <t>Сентябрь 2026</t>
  </si>
  <si>
    <t>После регистрации компании в июне-июле</t>
  </si>
  <si>
    <t>Прогноз выручки в первый месяц (сентябрь 2026)</t>
  </si>
  <si>
    <t>Прогноз выручки на 9-й месяц (май 2027)</t>
  </si>
  <si>
    <t>Прогноз выручки за 9 месяцев работы</t>
  </si>
  <si>
    <t>€ — совокупно</t>
  </si>
  <si>
    <t>Чистый доход РФ-компании за 9 месяцев</t>
  </si>
  <si>
    <t>€ — после операционных расходов</t>
  </si>
  <si>
    <t>Доля инвестора 50% — за 9 месяцев</t>
  </si>
  <si>
    <t>€ — прямой денежный поток</t>
  </si>
  <si>
    <t>Доля инвестора в первый месяц (сентябрь 2026)</t>
  </si>
  <si>
    <t>€ — 50% от (5K - 6% налог)</t>
  </si>
  <si>
    <t>Доля инвестора в 9-й месяц (май 2027)</t>
  </si>
  <si>
    <t>€ — 50% от (30K - 6% налог)</t>
  </si>
  <si>
    <t>6. ЛОГИКА ВОЗВРАТА ИНВЕСТИЦИЙ</t>
  </si>
  <si>
    <t>Возврат инвестиции обеспечивается двумя независимыми треками и базовой защитой:</t>
  </si>
  <si>
    <t>1. БАЗОВАЯ ЗАЩИТА — уже работающий бизнес и recurring layer:</t>
  </si>
  <si>
    <t xml:space="preserve">   На момент закрытия сделки компания работает в положительной операционной марже (6 месяцев из 7).</t>
  </si>
  <si>
    <t xml:space="preserve">   Активные 3 recurring-клиента с MRR €7 700 и портфель контрактов на €101 451.</t>
  </si>
  <si>
    <t>2. МЕЖДУНАРОДНЫЙ ТРЕК (5% доли в C-Corp Делавэр):</t>
  </si>
  <si>
    <t xml:space="preserve">   Возврат через рост капитализации к следующим раундам и далее к exit-событию.</t>
  </si>
  <si>
    <t>3. РОССИЙСКИЙ ТРЕК (50% от прибыли новой компании):</t>
  </si>
  <si>
    <t xml:space="preserve">   Прямой денежный поток, начиная с сентября 2026.</t>
  </si>
  <si>
    <t xml:space="preserve">   От 2 500 € до 15 000 € в месяц (доля инвестора). Подробно — на листе «РФ Трек».</t>
  </si>
  <si>
    <t xml:space="preserve">   Scope: разработка продуктов AIMAX, AI-консалтинг, автоматизация крупного бизнеса.</t>
  </si>
  <si>
    <t>AIMAX (международная компания) — Помесячный план движения денежных средств</t>
  </si>
  <si>
    <t>Базовая точка: на 30.04.2026 — выручка ~€10K/мес, MRR €7 700, 20 клиентов. Российский трек учитывается на отдельном листе «РФ Трек».</t>
  </si>
  <si>
    <t>Показатель / Месяц</t>
  </si>
  <si>
    <t>Июнь-26</t>
  </si>
  <si>
    <t>Июль-26</t>
  </si>
  <si>
    <t>Авг-26</t>
  </si>
  <si>
    <t>Сен-26</t>
  </si>
  <si>
    <t>Окт-26</t>
  </si>
  <si>
    <t>Ноя-26</t>
  </si>
  <si>
    <t>Дек-26</t>
  </si>
  <si>
    <t>Янв-27</t>
  </si>
  <si>
    <t>Фев-27</t>
  </si>
  <si>
    <t>Мар-27</t>
  </si>
  <si>
    <t>Апр-27</t>
  </si>
  <si>
    <t>Май-27</t>
  </si>
  <si>
    <t>ДОХОДЫ AIMAX</t>
  </si>
  <si>
    <t>Выручка AIMAX (международная)</t>
  </si>
  <si>
    <t>ОПЕРАЦИОННЫЕ РАСХОДЫ AIMAX</t>
  </si>
  <si>
    <t>Фонд оплаты труда</t>
  </si>
  <si>
    <t>Маркетинг и продвижение</t>
  </si>
  <si>
    <t>Технологии, инфраструктура, серверы</t>
  </si>
  <si>
    <t>Аренда, налоги, юр.расходы</t>
  </si>
  <si>
    <t>ИТОГО операционные расходы</t>
  </si>
  <si>
    <t>Операционный денежный поток</t>
  </si>
  <si>
    <t>ИНВЕСТИЦИИ И ОСТАТОК НА СЧЁТЕ</t>
  </si>
  <si>
    <t>Поступление инвестиций (транши)</t>
  </si>
  <si>
    <t>Чистый денежный поток за месяц</t>
  </si>
  <si>
    <t>Накопленный остаток на счёте</t>
  </si>
  <si>
    <t>Точка операционной безубыточности AIMAX: декабрь 2026 — январь 2027. Сумма инвестиций распределяется траншами: 20K летом (структурные расходы), 170K — основная фаза с сентября.</t>
  </si>
  <si>
    <t>РФ ТРЕК — Помесячный план новой российской компании (50/50)</t>
  </si>
  <si>
    <t>Светлана: фронт-офис Москва (директор, финансы, бухгалтерия, продажи). AIMAX: бэк-офис Сербия (техническая часть, исполнение заказов). Распределение 50/50 от чистого дохода компании.</t>
  </si>
  <si>
    <t>ВЫРУЧКА РФ-КОМПАНИИ</t>
  </si>
  <si>
    <t>Поступления от клиентов</t>
  </si>
  <si>
    <t>НАЛОГИ</t>
  </si>
  <si>
    <t>УСН 6% (упрощённая, на доходы)</t>
  </si>
  <si>
    <t>Чистый доход после налогов</t>
  </si>
  <si>
    <t>РАСПРЕДЕЛЕНИЕ 50/50</t>
  </si>
  <si>
    <t>Доля инвестора (50%) — фронт-офис Москва</t>
  </si>
  <si>
    <t>Доля AIMAX (50%) — бэк-офис Сербия</t>
  </si>
  <si>
    <t>Накопленный возврат инвестору</t>
  </si>
  <si>
    <t>Модель: РФ-компания работает по упрощённой системе налогообложения (УСН 6% на доходы). Технические расходы (исполнение заказов) покрываются AIMAX из своей 50% доли. Операционные расходы фронт-офиса (Москва) покрываются Светланой из её 50% доли.</t>
  </si>
  <si>
    <t>Ключевые цифры для инвестора: первый месяц с выручкой (сентябрь 2026) — 2 350 € доли. К маю 2027 — 14 100 € ежемесячно. Совокупный возврат за 9 месяцев работы — около 72 380 €.</t>
  </si>
  <si>
    <t>Детальное распределение инвестиций 200 000 € по направлениям</t>
  </si>
  <si>
    <t>Подкатегория</t>
  </si>
  <si>
    <t>Срок реализации</t>
  </si>
  <si>
    <t>Маркетинг ЕС/США</t>
  </si>
  <si>
    <t>Контент-маркетинг и SEO (специалист, статьи, креативы)</t>
  </si>
  <si>
    <t>Июль 2026 — Май 2027</t>
  </si>
  <si>
    <t>Постоянный поток контента для входа в ЕС</t>
  </si>
  <si>
    <t>Платная реклама (Google Ads, LinkedIn, контекст)</t>
  </si>
  <si>
    <t>Сентябрь 2026 — Апрель 2027</t>
  </si>
  <si>
    <t>Активная фаза привлечения B2B-лидов</t>
  </si>
  <si>
    <t>Конференции и нетворкинг (Web Summit, GITEX и т.п.)</t>
  </si>
  <si>
    <t>Октябрь 2026 — Май 2027</t>
  </si>
  <si>
    <t>Прямые контакты с MENA/EU</t>
  </si>
  <si>
    <t>PR и медиа</t>
  </si>
  <si>
    <t>Сентябрь 2026 — Май 2027</t>
  </si>
  <si>
    <t>Медиа-присутствие и репутационный след</t>
  </si>
  <si>
    <t>Сентябрь — Декабрь 2026</t>
  </si>
  <si>
    <t>Bilingual EN/DE/ES, B2B-опыт</t>
  </si>
  <si>
    <t>2 разработчика для масштабирования delivery</t>
  </si>
  <si>
    <t>Июль — Декабрь 2026</t>
  </si>
  <si>
    <t>Middle-разработчики, снятие bottleneck</t>
  </si>
  <si>
    <t>Поддержка клиентов и аккаунт-менеджмент</t>
  </si>
  <si>
    <t>Onboarding и удержание (защита от churn)</t>
  </si>
  <si>
    <t>Технологическое усиление</t>
  </si>
  <si>
    <t>Доработка под международные стандарты</t>
  </si>
  <si>
    <t>Июнь — Сентябрь 2026</t>
  </si>
  <si>
    <t>Локализация, GDPR, мультивалютность</t>
  </si>
  <si>
    <t>AI-инфраструктура (API, токены, инференс)</t>
  </si>
  <si>
    <t>Доступ к OpenAI/Anthropic/Google API</t>
  </si>
  <si>
    <t>SOC 2 readiness и compliance prep</t>
  </si>
  <si>
    <t>Август — Декабрь 2026</t>
  </si>
  <si>
    <t>Подготовка к корпоративным клиентам ЕС</t>
  </si>
  <si>
    <t>Юридическое оформление</t>
  </si>
  <si>
    <t>Регистрация C-Corp Делавэр + EIN + банковский счёт</t>
  </si>
  <si>
    <t>Июнь — Июль 2026</t>
  </si>
  <si>
    <t>Stripe Atlas или прямой агент</t>
  </si>
  <si>
    <t>Передача технологического актива в C-Corp</t>
  </si>
  <si>
    <t>Июнь — Август 2026</t>
  </si>
  <si>
    <t>Закрытие критического вопроса перед раундом</t>
  </si>
  <si>
    <t>Учреждение российской компании (50/50)</t>
  </si>
  <si>
    <t>Июль 2026</t>
  </si>
  <si>
    <t>Структурирование российского трека</t>
  </si>
  <si>
    <t>Регистрация торговой марки AIMAX (EU + US)</t>
  </si>
  <si>
    <t>Июль — Октябрь 2026</t>
  </si>
  <si>
    <t>EUIPO + USPTO</t>
  </si>
  <si>
    <t>Прочее (нотариус, апостили, переводы)</t>
  </si>
  <si>
    <t>Постоянно</t>
  </si>
  <si>
    <t>Резерв на юридические работы</t>
  </si>
  <si>
    <t>AIMAX (международная) — Прогноз роста выручки и клиентской базы</t>
  </si>
  <si>
    <t>Базовая точка (30.04.2026): MRR €7 700, ARPA €550, 20 клиентов. Прогноз — рост международной компании без учёта РФ-трека (он на отдельном листе).</t>
  </si>
  <si>
    <t>ИСТОЧНИКИ ВЫРУЧКИ AIMAX (€)</t>
  </si>
  <si>
    <t>Setup-проекты (ЕС, MENA, разовые)</t>
  </si>
  <si>
    <t>Партнёрский канал (Agama, Maximum и новые)</t>
  </si>
  <si>
    <t>ИТОГО выручка AIMAX</t>
  </si>
  <si>
    <t>Доля Recurring в выручке (%)</t>
  </si>
  <si>
    <t>КЛИЕНТСКАЯ БАЗА</t>
  </si>
  <si>
    <t>Активные клиенты (нарастающим итогом)</t>
  </si>
  <si>
    <t>Из них recurring клиенты</t>
  </si>
  <si>
    <t>Новые клиенты (за месяц)</t>
  </si>
  <si>
    <t>ARPC (средняя выручка на клиента)</t>
  </si>
  <si>
    <t>3 года с 1-year cliff</t>
  </si>
  <si>
    <t xml:space="preserve">Sales-менеджер EU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</si>
</sst>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;\(#,##0&quot;) €&quot;;\-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i/>
      <sz val="10"/>
      <color rgb="FF1F4E78"/>
      <name val="Arial"/>
      <charset val="1"/>
    </font>
    <font>
      <sz val="9"/>
      <color rgb="FF59595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Alignment="1"/>
    <xf numFmtId="0" fontId="0" fillId="0" borderId="0" xfId="0" applyAlignment="1"/>
    <xf numFmtId="0" fontId="3" fillId="3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3" fontId="5" fillId="0" borderId="0" xfId="0" applyNumberFormat="1" applyFont="1" applyAlignment="1"/>
    <xf numFmtId="164" fontId="5" fillId="0" borderId="0" xfId="0" applyNumberFormat="1" applyFont="1" applyAlignment="1"/>
    <xf numFmtId="165" fontId="5" fillId="0" borderId="0" xfId="0" applyNumberFormat="1" applyFont="1" applyAlignment="1"/>
    <xf numFmtId="0" fontId="7" fillId="4" borderId="0" xfId="0" applyFont="1" applyFill="1" applyAlignment="1">
      <alignment horizontal="center" vertical="center"/>
    </xf>
    <xf numFmtId="165" fontId="8" fillId="0" borderId="0" xfId="0" applyNumberFormat="1" applyFont="1" applyAlignment="1"/>
    <xf numFmtId="0" fontId="4" fillId="5" borderId="0" xfId="0" applyFont="1" applyFill="1" applyAlignment="1"/>
    <xf numFmtId="164" fontId="4" fillId="5" borderId="0" xfId="0" applyNumberFormat="1" applyFont="1" applyFill="1" applyAlignment="1"/>
    <xf numFmtId="165" fontId="4" fillId="5" borderId="0" xfId="0" applyNumberFormat="1" applyFont="1" applyFill="1" applyAlignment="1"/>
    <xf numFmtId="0" fontId="0" fillId="5" borderId="0" xfId="0" applyFill="1" applyAlignment="1"/>
    <xf numFmtId="164" fontId="9" fillId="5" borderId="0" xfId="0" applyNumberFormat="1" applyFont="1" applyFill="1" applyAlignment="1"/>
    <xf numFmtId="164" fontId="5" fillId="5" borderId="0" xfId="0" applyNumberFormat="1" applyFont="1" applyFill="1" applyAlignment="1"/>
    <xf numFmtId="3" fontId="5" fillId="5" borderId="0" xfId="0" applyNumberFormat="1" applyFont="1" applyFill="1" applyAlignment="1"/>
    <xf numFmtId="0" fontId="4" fillId="6" borderId="0" xfId="0" applyFont="1" applyFill="1" applyAlignment="1"/>
    <xf numFmtId="164" fontId="5" fillId="6" borderId="0" xfId="0" applyNumberFormat="1" applyFont="1" applyFill="1" applyAlignment="1"/>
    <xf numFmtId="164" fontId="9" fillId="6" borderId="0" xfId="0" applyNumberFormat="1" applyFont="1" applyFill="1" applyAlignment="1"/>
    <xf numFmtId="0" fontId="0" fillId="3" borderId="0" xfId="0" applyFill="1" applyAlignment="1"/>
    <xf numFmtId="164" fontId="8" fillId="0" borderId="0" xfId="0" applyNumberFormat="1" applyFont="1" applyAlignment="1"/>
    <xf numFmtId="164" fontId="4" fillId="7" borderId="0" xfId="0" applyNumberFormat="1" applyFont="1" applyFill="1" applyAlignment="1"/>
    <xf numFmtId="164" fontId="4" fillId="6" borderId="0" xfId="0" applyNumberFormat="1" applyFont="1" applyFill="1" applyAlignment="1"/>
    <xf numFmtId="0" fontId="11" fillId="0" borderId="0" xfId="0" applyFont="1" applyAlignment="1"/>
    <xf numFmtId="0" fontId="3" fillId="5" borderId="0" xfId="0" applyFont="1" applyFill="1" applyAlignment="1"/>
    <xf numFmtId="164" fontId="3" fillId="5" borderId="0" xfId="0" applyNumberFormat="1" applyFont="1" applyFill="1" applyAlignment="1"/>
    <xf numFmtId="0" fontId="6" fillId="0" borderId="0" xfId="0" applyFont="1" applyAlignment="1"/>
    <xf numFmtId="0" fontId="0" fillId="0" borderId="0" xfId="0" applyAlignment="1"/>
    <xf numFmtId="0" fontId="8" fillId="0" borderId="0" xfId="0" applyFont="1" applyAlignment="1">
      <alignment horizontal="left" vertical="center"/>
    </xf>
    <xf numFmtId="0" fontId="3" fillId="3" borderId="0" xfId="0" applyFont="1" applyFill="1" applyAlignment="1"/>
    <xf numFmtId="0" fontId="2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5" borderId="0" xfId="0" applyFill="1" applyAlignme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64" fontId="5" fillId="8" borderId="0" xfId="0" applyNumberFormat="1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showGridLines="0" topLeftCell="A40" zoomScaleNormal="100" workbookViewId="0">
      <selection activeCell="A70" sqref="A70:F70"/>
    </sheetView>
  </sheetViews>
  <sheetFormatPr defaultColWidth="8.7109375" defaultRowHeight="15" x14ac:dyDescent="0.25"/>
  <cols>
    <col min="1" max="1" width="44" style="1" customWidth="1"/>
    <col min="2" max="2" width="22" style="1" customWidth="1"/>
    <col min="3" max="3" width="12" style="1" customWidth="1"/>
    <col min="4" max="6" width="18" style="1" customWidth="1"/>
  </cols>
  <sheetData>
    <row r="1" spans="1:6" ht="30" customHeight="1" x14ac:dyDescent="0.25">
      <c r="A1" s="34" t="s">
        <v>0</v>
      </c>
      <c r="B1" s="29"/>
      <c r="C1" s="29"/>
      <c r="D1" s="29"/>
      <c r="E1" s="29"/>
      <c r="F1" s="29"/>
    </row>
    <row r="2" spans="1:6" ht="15" customHeight="1" x14ac:dyDescent="0.25">
      <c r="A2" s="32" t="s">
        <v>1</v>
      </c>
      <c r="B2" s="29"/>
      <c r="C2" s="29"/>
      <c r="D2" s="29"/>
      <c r="E2" s="29"/>
      <c r="F2" s="29"/>
    </row>
    <row r="4" spans="1:6" ht="15" customHeight="1" x14ac:dyDescent="0.25">
      <c r="A4" s="31" t="s">
        <v>2</v>
      </c>
      <c r="B4" s="29"/>
      <c r="C4" s="29"/>
      <c r="D4" s="29"/>
      <c r="E4" s="29"/>
      <c r="F4" s="29"/>
    </row>
    <row r="5" spans="1:6" ht="15" customHeight="1" x14ac:dyDescent="0.25">
      <c r="A5" s="3" t="s">
        <v>3</v>
      </c>
      <c r="B5" s="4" t="s">
        <v>4</v>
      </c>
      <c r="C5" s="28" t="s">
        <v>5</v>
      </c>
      <c r="D5" s="29"/>
      <c r="E5" s="29"/>
      <c r="F5" s="29"/>
    </row>
    <row r="6" spans="1:6" ht="15" customHeight="1" x14ac:dyDescent="0.25">
      <c r="A6" s="3" t="s">
        <v>6</v>
      </c>
      <c r="B6" s="6">
        <v>20</v>
      </c>
      <c r="C6" s="28" t="s">
        <v>7</v>
      </c>
      <c r="D6" s="29"/>
      <c r="E6" s="29"/>
      <c r="F6" s="29"/>
    </row>
    <row r="7" spans="1:6" ht="15" customHeight="1" x14ac:dyDescent="0.25">
      <c r="A7" s="3" t="s">
        <v>8</v>
      </c>
      <c r="B7" s="7">
        <v>101451</v>
      </c>
      <c r="C7" s="28" t="s">
        <v>9</v>
      </c>
      <c r="D7" s="29"/>
      <c r="E7" s="29"/>
      <c r="F7" s="29"/>
    </row>
    <row r="8" spans="1:6" ht="15" customHeight="1" x14ac:dyDescent="0.25">
      <c r="A8" s="3" t="s">
        <v>10</v>
      </c>
      <c r="B8" s="7">
        <v>71975</v>
      </c>
      <c r="C8" s="28" t="s">
        <v>11</v>
      </c>
      <c r="D8" s="29"/>
      <c r="E8" s="29"/>
      <c r="F8" s="29"/>
    </row>
    <row r="9" spans="1:6" ht="15" customHeight="1" x14ac:dyDescent="0.25">
      <c r="A9" s="3" t="s">
        <v>12</v>
      </c>
      <c r="B9" s="7">
        <v>29476</v>
      </c>
      <c r="C9" s="28" t="s">
        <v>13</v>
      </c>
      <c r="D9" s="29"/>
      <c r="E9" s="29"/>
      <c r="F9" s="29"/>
    </row>
    <row r="10" spans="1:6" ht="15" customHeight="1" x14ac:dyDescent="0.25">
      <c r="A10" s="3" t="s">
        <v>14</v>
      </c>
      <c r="B10" s="7">
        <v>9510</v>
      </c>
      <c r="C10" s="28" t="s">
        <v>15</v>
      </c>
      <c r="D10" s="29"/>
      <c r="E10" s="29"/>
      <c r="F10" s="29"/>
    </row>
    <row r="11" spans="1:6" ht="15" customHeight="1" x14ac:dyDescent="0.25">
      <c r="A11" s="3" t="s">
        <v>16</v>
      </c>
      <c r="B11" s="4" t="s">
        <v>17</v>
      </c>
      <c r="C11" s="28" t="s">
        <v>18</v>
      </c>
      <c r="D11" s="29"/>
      <c r="E11" s="29"/>
      <c r="F11" s="29"/>
    </row>
    <row r="12" spans="1:6" ht="15" customHeight="1" x14ac:dyDescent="0.25">
      <c r="A12" s="3" t="s">
        <v>19</v>
      </c>
      <c r="B12" s="4" t="s">
        <v>20</v>
      </c>
      <c r="C12" s="28" t="s">
        <v>21</v>
      </c>
      <c r="D12" s="29"/>
      <c r="E12" s="29"/>
      <c r="F12" s="29"/>
    </row>
    <row r="13" spans="1:6" ht="15" customHeight="1" x14ac:dyDescent="0.25">
      <c r="A13" s="3" t="s">
        <v>22</v>
      </c>
      <c r="B13" s="6">
        <v>3</v>
      </c>
      <c r="C13" s="28" t="s">
        <v>23</v>
      </c>
      <c r="D13" s="29"/>
      <c r="E13" s="29"/>
      <c r="F13" s="29"/>
    </row>
    <row r="14" spans="1:6" ht="15" customHeight="1" x14ac:dyDescent="0.25">
      <c r="A14" s="3" t="s">
        <v>24</v>
      </c>
      <c r="B14" s="7">
        <v>7700</v>
      </c>
      <c r="C14" s="28" t="s">
        <v>25</v>
      </c>
      <c r="D14" s="29"/>
      <c r="E14" s="29"/>
      <c r="F14" s="29"/>
    </row>
    <row r="15" spans="1:6" ht="15" customHeight="1" x14ac:dyDescent="0.25">
      <c r="A15" s="3" t="s">
        <v>26</v>
      </c>
      <c r="B15" s="4" t="s">
        <v>27</v>
      </c>
      <c r="C15" s="28" t="s">
        <v>28</v>
      </c>
      <c r="D15" s="29"/>
      <c r="E15" s="29"/>
      <c r="F15" s="29"/>
    </row>
    <row r="16" spans="1:6" ht="15" customHeight="1" x14ac:dyDescent="0.25">
      <c r="A16" s="3" t="s">
        <v>29</v>
      </c>
      <c r="B16" s="6">
        <v>6</v>
      </c>
      <c r="C16" s="28" t="s">
        <v>30</v>
      </c>
      <c r="D16" s="29"/>
      <c r="E16" s="29"/>
      <c r="F16" s="29"/>
    </row>
    <row r="18" spans="1:6" ht="15" customHeight="1" x14ac:dyDescent="0.25">
      <c r="A18" s="31" t="s">
        <v>31</v>
      </c>
      <c r="B18" s="29"/>
      <c r="C18" s="29"/>
      <c r="D18" s="29"/>
      <c r="E18" s="29"/>
      <c r="F18" s="29"/>
    </row>
    <row r="19" spans="1:6" ht="15" customHeight="1" x14ac:dyDescent="0.25">
      <c r="A19" s="3" t="s">
        <v>32</v>
      </c>
      <c r="B19" s="4" t="s">
        <v>33</v>
      </c>
      <c r="C19" s="28" t="s">
        <v>34</v>
      </c>
      <c r="D19" s="29"/>
      <c r="E19" s="29"/>
      <c r="F19" s="29"/>
    </row>
    <row r="20" spans="1:6" ht="15" customHeight="1" x14ac:dyDescent="0.25">
      <c r="A20" s="3" t="s">
        <v>35</v>
      </c>
      <c r="B20" s="4" t="s">
        <v>36</v>
      </c>
      <c r="C20" s="28" t="s">
        <v>37</v>
      </c>
      <c r="D20" s="29"/>
      <c r="E20" s="29"/>
      <c r="F20" s="29"/>
    </row>
    <row r="21" spans="1:6" ht="15" customHeight="1" x14ac:dyDescent="0.25">
      <c r="A21" s="3" t="s">
        <v>38</v>
      </c>
      <c r="B21" s="4" t="s">
        <v>39</v>
      </c>
      <c r="C21" s="28" t="s">
        <v>40</v>
      </c>
      <c r="D21" s="29"/>
      <c r="E21" s="29"/>
      <c r="F21" s="29"/>
    </row>
    <row r="22" spans="1:6" ht="15" customHeight="1" x14ac:dyDescent="0.25">
      <c r="A22" s="3" t="s">
        <v>41</v>
      </c>
      <c r="B22" s="4" t="s">
        <v>42</v>
      </c>
      <c r="C22" s="28" t="s">
        <v>43</v>
      </c>
      <c r="D22" s="29"/>
      <c r="E22" s="29"/>
      <c r="F22" s="29"/>
    </row>
    <row r="23" spans="1:6" ht="15" customHeight="1" x14ac:dyDescent="0.25">
      <c r="A23" s="3" t="s">
        <v>44</v>
      </c>
      <c r="B23" s="7">
        <v>200000</v>
      </c>
      <c r="C23" s="28" t="s">
        <v>45</v>
      </c>
      <c r="D23" s="29"/>
      <c r="E23" s="29"/>
      <c r="F23" s="29"/>
    </row>
    <row r="24" spans="1:6" ht="15" customHeight="1" x14ac:dyDescent="0.25">
      <c r="A24" s="3" t="s">
        <v>46</v>
      </c>
      <c r="B24" s="8">
        <v>0.05</v>
      </c>
      <c r="C24" s="28" t="s">
        <v>47</v>
      </c>
      <c r="D24" s="29"/>
      <c r="E24" s="29"/>
      <c r="F24" s="29"/>
    </row>
    <row r="25" spans="1:6" ht="15" customHeight="1" x14ac:dyDescent="0.25">
      <c r="A25" s="3" t="s">
        <v>48</v>
      </c>
      <c r="B25" s="7">
        <v>3800000</v>
      </c>
      <c r="C25" s="28" t="s">
        <v>45</v>
      </c>
      <c r="D25" s="29"/>
      <c r="E25" s="29"/>
      <c r="F25" s="29"/>
    </row>
    <row r="26" spans="1:6" ht="15" customHeight="1" x14ac:dyDescent="0.25">
      <c r="A26" s="3" t="s">
        <v>49</v>
      </c>
      <c r="B26" s="7">
        <v>4000000</v>
      </c>
      <c r="C26" s="28" t="s">
        <v>45</v>
      </c>
      <c r="D26" s="29"/>
      <c r="E26" s="29"/>
      <c r="F26" s="29"/>
    </row>
    <row r="27" spans="1:6" ht="15" customHeight="1" x14ac:dyDescent="0.25">
      <c r="A27" s="3" t="s">
        <v>50</v>
      </c>
      <c r="B27" s="4" t="s">
        <v>51</v>
      </c>
      <c r="C27" s="28" t="s">
        <v>52</v>
      </c>
      <c r="D27" s="29"/>
      <c r="E27" s="29"/>
      <c r="F27" s="29"/>
    </row>
    <row r="28" spans="1:6" ht="15" customHeight="1" x14ac:dyDescent="0.25">
      <c r="A28" s="3" t="s">
        <v>53</v>
      </c>
      <c r="B28" s="4" t="s">
        <v>214</v>
      </c>
      <c r="C28" s="28" t="s">
        <v>54</v>
      </c>
      <c r="D28" s="29"/>
      <c r="E28" s="29"/>
      <c r="F28" s="29"/>
    </row>
    <row r="30" spans="1:6" ht="15" customHeight="1" x14ac:dyDescent="0.25">
      <c r="A30" s="31" t="s">
        <v>55</v>
      </c>
      <c r="B30" s="29"/>
      <c r="C30" s="29"/>
      <c r="D30" s="29"/>
      <c r="E30" s="29"/>
      <c r="F30" s="29"/>
    </row>
    <row r="31" spans="1:6" ht="15" customHeight="1" x14ac:dyDescent="0.25">
      <c r="A31" s="9" t="s">
        <v>56</v>
      </c>
      <c r="B31" s="9" t="s">
        <v>57</v>
      </c>
      <c r="C31" s="9" t="s">
        <v>58</v>
      </c>
      <c r="D31" s="33" t="s">
        <v>59</v>
      </c>
      <c r="E31" s="29"/>
      <c r="F31" s="29"/>
    </row>
    <row r="32" spans="1:6" ht="15" customHeight="1" x14ac:dyDescent="0.25">
      <c r="A32" s="1" t="s">
        <v>60</v>
      </c>
      <c r="B32" s="7">
        <v>100000</v>
      </c>
      <c r="C32" s="10">
        <f>B32/B36</f>
        <v>0.5</v>
      </c>
      <c r="D32" s="28" t="s">
        <v>61</v>
      </c>
      <c r="E32" s="29"/>
      <c r="F32" s="29"/>
    </row>
    <row r="33" spans="1:6" ht="15" customHeight="1" x14ac:dyDescent="0.25">
      <c r="A33" s="1" t="s">
        <v>62</v>
      </c>
      <c r="B33" s="7">
        <v>60000</v>
      </c>
      <c r="C33" s="10">
        <f>B33/B36</f>
        <v>0.3</v>
      </c>
      <c r="D33" s="28" t="s">
        <v>63</v>
      </c>
      <c r="E33" s="29"/>
      <c r="F33" s="29"/>
    </row>
    <row r="34" spans="1:6" ht="15" customHeight="1" x14ac:dyDescent="0.25">
      <c r="A34" s="1" t="s">
        <v>64</v>
      </c>
      <c r="B34" s="7">
        <v>25000</v>
      </c>
      <c r="C34" s="10">
        <f>B34/B36</f>
        <v>0.125</v>
      </c>
      <c r="D34" s="28" t="s">
        <v>65</v>
      </c>
      <c r="E34" s="29"/>
      <c r="F34" s="29"/>
    </row>
    <row r="35" spans="1:6" ht="15" customHeight="1" x14ac:dyDescent="0.25">
      <c r="A35" s="1" t="s">
        <v>66</v>
      </c>
      <c r="B35" s="7">
        <v>15000</v>
      </c>
      <c r="C35" s="10">
        <f>B35/B36</f>
        <v>7.4999999999999997E-2</v>
      </c>
      <c r="D35" s="28" t="s">
        <v>67</v>
      </c>
      <c r="E35" s="29"/>
      <c r="F35" s="29"/>
    </row>
    <row r="36" spans="1:6" ht="15" customHeight="1" x14ac:dyDescent="0.25">
      <c r="A36" s="11" t="s">
        <v>68</v>
      </c>
      <c r="B36" s="12">
        <f>SUM(B32:B35)</f>
        <v>200000</v>
      </c>
      <c r="C36" s="13">
        <f>SUM(C32:C35)</f>
        <v>1</v>
      </c>
      <c r="D36" s="35"/>
      <c r="E36" s="29"/>
      <c r="F36" s="29"/>
    </row>
    <row r="38" spans="1:6" ht="15" customHeight="1" x14ac:dyDescent="0.25">
      <c r="A38" s="31" t="s">
        <v>69</v>
      </c>
      <c r="B38" s="29"/>
      <c r="C38" s="29"/>
      <c r="D38" s="29"/>
      <c r="E38" s="29"/>
      <c r="F38" s="29"/>
    </row>
    <row r="39" spans="1:6" ht="15" customHeight="1" x14ac:dyDescent="0.25">
      <c r="A39" s="3" t="s">
        <v>70</v>
      </c>
      <c r="B39" s="11" t="s">
        <v>71</v>
      </c>
      <c r="C39" s="28" t="s">
        <v>72</v>
      </c>
      <c r="D39" s="29"/>
      <c r="E39" s="29"/>
      <c r="F39" s="29"/>
    </row>
    <row r="40" spans="1:6" ht="15" customHeight="1" x14ac:dyDescent="0.25">
      <c r="A40" s="3" t="s">
        <v>73</v>
      </c>
      <c r="B40" s="15">
        <f>'Cash Flow'!N5</f>
        <v>511000</v>
      </c>
      <c r="C40" s="28" t="s">
        <v>74</v>
      </c>
      <c r="D40" s="29"/>
      <c r="E40" s="29"/>
      <c r="F40" s="29"/>
    </row>
    <row r="41" spans="1:6" ht="15" customHeight="1" x14ac:dyDescent="0.25">
      <c r="A41" s="3" t="s">
        <v>75</v>
      </c>
      <c r="B41" s="15">
        <f>'Cash Flow'!N11</f>
        <v>474500</v>
      </c>
      <c r="C41" s="28" t="s">
        <v>76</v>
      </c>
      <c r="D41" s="29"/>
      <c r="E41" s="29"/>
      <c r="F41" s="29"/>
    </row>
    <row r="42" spans="1:6" ht="15" customHeight="1" x14ac:dyDescent="0.25">
      <c r="A42" s="3" t="s">
        <v>77</v>
      </c>
      <c r="B42" s="15">
        <f>'Cash Flow'!N12</f>
        <v>36500</v>
      </c>
      <c r="C42" s="28" t="s">
        <v>78</v>
      </c>
      <c r="D42" s="29"/>
      <c r="E42" s="29"/>
      <c r="F42" s="29"/>
    </row>
    <row r="43" spans="1:6" ht="15" customHeight="1" x14ac:dyDescent="0.25">
      <c r="A43" s="3" t="s">
        <v>79</v>
      </c>
      <c r="B43" s="15">
        <f>'Cash Flow'!M17</f>
        <v>236500</v>
      </c>
      <c r="C43" s="28" t="s">
        <v>80</v>
      </c>
      <c r="D43" s="29"/>
      <c r="E43" s="29"/>
      <c r="F43" s="29"/>
    </row>
    <row r="44" spans="1:6" ht="15" customHeight="1" x14ac:dyDescent="0.25">
      <c r="A44" s="3" t="s">
        <v>81</v>
      </c>
      <c r="B44" s="16">
        <v>22000</v>
      </c>
      <c r="C44" s="28" t="s">
        <v>82</v>
      </c>
      <c r="D44" s="29"/>
      <c r="E44" s="29"/>
      <c r="F44" s="29"/>
    </row>
    <row r="45" spans="1:6" ht="15" customHeight="1" x14ac:dyDescent="0.25">
      <c r="A45" s="3" t="s">
        <v>83</v>
      </c>
      <c r="B45" s="17">
        <v>48</v>
      </c>
      <c r="C45" s="28" t="s">
        <v>84</v>
      </c>
      <c r="D45" s="29"/>
      <c r="E45" s="29"/>
      <c r="F45" s="29"/>
    </row>
    <row r="47" spans="1:6" ht="15" customHeight="1" x14ac:dyDescent="0.25">
      <c r="A47" s="31" t="s">
        <v>85</v>
      </c>
      <c r="B47" s="29"/>
      <c r="C47" s="29"/>
      <c r="D47" s="29"/>
      <c r="E47" s="29"/>
      <c r="F47" s="29"/>
    </row>
    <row r="48" spans="1:6" ht="15" customHeight="1" x14ac:dyDescent="0.25">
      <c r="A48" s="3" t="s">
        <v>86</v>
      </c>
      <c r="B48" s="18" t="s">
        <v>87</v>
      </c>
      <c r="C48" s="28" t="s">
        <v>88</v>
      </c>
      <c r="D48" s="29"/>
      <c r="E48" s="29"/>
      <c r="F48" s="29"/>
    </row>
    <row r="49" spans="1:6" ht="15" customHeight="1" x14ac:dyDescent="0.25">
      <c r="A49" s="3" t="s">
        <v>89</v>
      </c>
      <c r="B49" s="19">
        <v>5000</v>
      </c>
      <c r="C49" s="28" t="s">
        <v>45</v>
      </c>
      <c r="D49" s="29"/>
      <c r="E49" s="29"/>
      <c r="F49" s="29"/>
    </row>
    <row r="50" spans="1:6" ht="15" customHeight="1" x14ac:dyDescent="0.25">
      <c r="A50" s="3" t="s">
        <v>90</v>
      </c>
      <c r="B50" s="19">
        <v>30000</v>
      </c>
      <c r="C50" s="28" t="s">
        <v>45</v>
      </c>
      <c r="D50" s="29"/>
      <c r="E50" s="29"/>
      <c r="F50" s="29"/>
    </row>
    <row r="51" spans="1:6" ht="15" customHeight="1" x14ac:dyDescent="0.25">
      <c r="A51" s="3" t="s">
        <v>91</v>
      </c>
      <c r="B51" s="20">
        <f>'РФ Трек'!N5</f>
        <v>154000</v>
      </c>
      <c r="C51" s="28" t="s">
        <v>92</v>
      </c>
      <c r="D51" s="29"/>
      <c r="E51" s="29"/>
      <c r="F51" s="29"/>
    </row>
    <row r="52" spans="1:6" ht="15" customHeight="1" x14ac:dyDescent="0.25">
      <c r="A52" s="3" t="s">
        <v>93</v>
      </c>
      <c r="B52" s="20">
        <f>'РФ Трек'!N8</f>
        <v>144760</v>
      </c>
      <c r="C52" s="28" t="s">
        <v>94</v>
      </c>
      <c r="D52" s="29"/>
      <c r="E52" s="29"/>
      <c r="F52" s="29"/>
    </row>
    <row r="53" spans="1:6" ht="15" customHeight="1" x14ac:dyDescent="0.25">
      <c r="A53" s="3" t="s">
        <v>95</v>
      </c>
      <c r="B53" s="20">
        <f>'РФ Трек'!N10</f>
        <v>72380</v>
      </c>
      <c r="C53" s="28" t="s">
        <v>96</v>
      </c>
      <c r="D53" s="29"/>
      <c r="E53" s="29"/>
      <c r="F53" s="29"/>
    </row>
    <row r="54" spans="1:6" ht="15" customHeight="1" x14ac:dyDescent="0.25">
      <c r="A54" s="3" t="s">
        <v>97</v>
      </c>
      <c r="B54" s="19">
        <v>2350</v>
      </c>
      <c r="C54" s="28" t="s">
        <v>98</v>
      </c>
      <c r="D54" s="29"/>
      <c r="E54" s="29"/>
      <c r="F54" s="29"/>
    </row>
    <row r="55" spans="1:6" ht="15" customHeight="1" x14ac:dyDescent="0.25">
      <c r="A55" s="3" t="s">
        <v>99</v>
      </c>
      <c r="B55" s="19">
        <v>14100</v>
      </c>
      <c r="C55" s="28" t="s">
        <v>100</v>
      </c>
      <c r="D55" s="29"/>
      <c r="E55" s="29"/>
      <c r="F55" s="29"/>
    </row>
    <row r="57" spans="1:6" ht="15" customHeight="1" x14ac:dyDescent="0.25">
      <c r="A57" s="31" t="s">
        <v>101</v>
      </c>
      <c r="B57" s="29"/>
      <c r="C57" s="29"/>
      <c r="D57" s="29"/>
      <c r="E57" s="29"/>
      <c r="F57" s="29"/>
    </row>
    <row r="58" spans="1:6" ht="15" customHeight="1" x14ac:dyDescent="0.25">
      <c r="A58" s="30" t="s">
        <v>102</v>
      </c>
      <c r="B58" s="29"/>
      <c r="C58" s="29"/>
      <c r="D58" s="29"/>
      <c r="E58" s="29"/>
      <c r="F58" s="29"/>
    </row>
    <row r="59" spans="1:6" ht="15" customHeight="1" x14ac:dyDescent="0.25">
      <c r="A59" s="30"/>
      <c r="B59" s="29"/>
      <c r="C59" s="29"/>
      <c r="D59" s="29"/>
      <c r="E59" s="29"/>
      <c r="F59" s="29"/>
    </row>
    <row r="60" spans="1:6" ht="15" customHeight="1" x14ac:dyDescent="0.25">
      <c r="A60" s="30" t="s">
        <v>103</v>
      </c>
      <c r="B60" s="29"/>
      <c r="C60" s="29"/>
      <c r="D60" s="29"/>
      <c r="E60" s="29"/>
      <c r="F60" s="29"/>
    </row>
    <row r="61" spans="1:6" ht="15" customHeight="1" x14ac:dyDescent="0.25">
      <c r="A61" s="30" t="s">
        <v>104</v>
      </c>
      <c r="B61" s="29"/>
      <c r="C61" s="29"/>
      <c r="D61" s="29"/>
      <c r="E61" s="29"/>
      <c r="F61" s="29"/>
    </row>
    <row r="62" spans="1:6" ht="15" customHeight="1" x14ac:dyDescent="0.25">
      <c r="A62" s="30" t="s">
        <v>105</v>
      </c>
      <c r="B62" s="29"/>
      <c r="C62" s="29"/>
      <c r="D62" s="29"/>
      <c r="E62" s="29"/>
      <c r="F62" s="29"/>
    </row>
    <row r="63" spans="1:6" ht="15" customHeight="1" x14ac:dyDescent="0.25">
      <c r="A63" s="30"/>
      <c r="B63" s="29"/>
      <c r="C63" s="29"/>
      <c r="D63" s="29"/>
      <c r="E63" s="29"/>
      <c r="F63" s="29"/>
    </row>
    <row r="64" spans="1:6" ht="15" customHeight="1" x14ac:dyDescent="0.25">
      <c r="A64" s="30" t="s">
        <v>106</v>
      </c>
      <c r="B64" s="29"/>
      <c r="C64" s="29"/>
      <c r="D64" s="29"/>
      <c r="E64" s="29"/>
      <c r="F64" s="29"/>
    </row>
    <row r="65" spans="1:6" ht="15" customHeight="1" x14ac:dyDescent="0.25">
      <c r="A65" s="30" t="s">
        <v>107</v>
      </c>
      <c r="B65" s="29"/>
      <c r="C65" s="29"/>
      <c r="D65" s="29"/>
      <c r="E65" s="29"/>
      <c r="F65" s="29"/>
    </row>
    <row r="66" spans="1:6" ht="15" customHeight="1" x14ac:dyDescent="0.25">
      <c r="A66" s="30"/>
      <c r="B66" s="29"/>
      <c r="C66" s="29"/>
      <c r="D66" s="29"/>
      <c r="E66" s="29"/>
      <c r="F66" s="29"/>
    </row>
    <row r="67" spans="1:6" ht="15" customHeight="1" x14ac:dyDescent="0.25">
      <c r="A67" s="30" t="s">
        <v>108</v>
      </c>
      <c r="B67" s="29"/>
      <c r="C67" s="29"/>
      <c r="D67" s="29"/>
      <c r="E67" s="29"/>
      <c r="F67" s="29"/>
    </row>
    <row r="68" spans="1:6" ht="15" customHeight="1" x14ac:dyDescent="0.25">
      <c r="A68" s="30" t="s">
        <v>109</v>
      </c>
      <c r="B68" s="29"/>
      <c r="C68" s="29"/>
      <c r="D68" s="29"/>
      <c r="E68" s="29"/>
      <c r="F68" s="29"/>
    </row>
    <row r="69" spans="1:6" ht="15" customHeight="1" x14ac:dyDescent="0.25">
      <c r="A69" s="30" t="s">
        <v>110</v>
      </c>
      <c r="B69" s="29"/>
      <c r="C69" s="29"/>
      <c r="D69" s="29"/>
      <c r="E69" s="29"/>
      <c r="F69" s="29"/>
    </row>
    <row r="70" spans="1:6" ht="15" customHeight="1" x14ac:dyDescent="0.25">
      <c r="A70" s="30" t="s">
        <v>111</v>
      </c>
      <c r="B70" s="29"/>
      <c r="C70" s="29"/>
      <c r="D70" s="29"/>
      <c r="E70" s="29"/>
      <c r="F70" s="29"/>
    </row>
  </sheetData>
  <mergeCells count="64">
    <mergeCell ref="A1:F1"/>
    <mergeCell ref="C12:F12"/>
    <mergeCell ref="C43:F43"/>
    <mergeCell ref="A70:F70"/>
    <mergeCell ref="C21:F21"/>
    <mergeCell ref="D36:F36"/>
    <mergeCell ref="A61:F61"/>
    <mergeCell ref="C11:F11"/>
    <mergeCell ref="C51:F51"/>
    <mergeCell ref="C27:F27"/>
    <mergeCell ref="A69:F69"/>
    <mergeCell ref="A65:F65"/>
    <mergeCell ref="A68:F68"/>
    <mergeCell ref="C20:F20"/>
    <mergeCell ref="C26:F26"/>
    <mergeCell ref="A67:F67"/>
    <mergeCell ref="D35:F35"/>
    <mergeCell ref="C54:F54"/>
    <mergeCell ref="A58:F58"/>
    <mergeCell ref="C25:F25"/>
    <mergeCell ref="A30:F30"/>
    <mergeCell ref="C41:F41"/>
    <mergeCell ref="C55:F55"/>
    <mergeCell ref="C50:F50"/>
    <mergeCell ref="D34:F34"/>
    <mergeCell ref="C44:F44"/>
    <mergeCell ref="A59:F59"/>
    <mergeCell ref="C22:F22"/>
    <mergeCell ref="A2:F2"/>
    <mergeCell ref="C53:F53"/>
    <mergeCell ref="A47:F47"/>
    <mergeCell ref="C49:F49"/>
    <mergeCell ref="C6:F6"/>
    <mergeCell ref="C15:F15"/>
    <mergeCell ref="A4:F4"/>
    <mergeCell ref="C24:F24"/>
    <mergeCell ref="C5:F5"/>
    <mergeCell ref="C42:F42"/>
    <mergeCell ref="D33:F33"/>
    <mergeCell ref="C14:F14"/>
    <mergeCell ref="A38:F38"/>
    <mergeCell ref="C45:F45"/>
    <mergeCell ref="C16:F16"/>
    <mergeCell ref="C10:F10"/>
    <mergeCell ref="A66:F66"/>
    <mergeCell ref="D32:F32"/>
    <mergeCell ref="C7:F7"/>
    <mergeCell ref="A18:F18"/>
    <mergeCell ref="C19:F19"/>
    <mergeCell ref="C28:F28"/>
    <mergeCell ref="A57:F57"/>
    <mergeCell ref="C13:F13"/>
    <mergeCell ref="A62:F62"/>
    <mergeCell ref="A63:F63"/>
    <mergeCell ref="C40:F40"/>
    <mergeCell ref="C9:F9"/>
    <mergeCell ref="A64:F64"/>
    <mergeCell ref="A60:F60"/>
    <mergeCell ref="D31:F31"/>
    <mergeCell ref="C52:F52"/>
    <mergeCell ref="C48:F48"/>
    <mergeCell ref="C23:F23"/>
    <mergeCell ref="C39:F39"/>
    <mergeCell ref="C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showGridLines="0" zoomScaleNormal="100" workbookViewId="0">
      <selection activeCell="G22" sqref="G22:G23"/>
    </sheetView>
  </sheetViews>
  <sheetFormatPr defaultColWidth="8.7109375" defaultRowHeight="15" x14ac:dyDescent="0.25"/>
  <cols>
    <col min="1" max="1" width="38" style="1" customWidth="1"/>
    <col min="2" max="14" width="12" style="1" customWidth="1"/>
  </cols>
  <sheetData>
    <row r="1" spans="1:14" ht="27.75" customHeight="1" x14ac:dyDescent="0.25">
      <c r="A1" s="34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25">
      <c r="A2" s="37" t="s">
        <v>113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" customHeight="1" x14ac:dyDescent="0.25">
      <c r="A3" s="9" t="s">
        <v>114</v>
      </c>
      <c r="B3" s="9" t="s">
        <v>115</v>
      </c>
      <c r="C3" s="9" t="s">
        <v>116</v>
      </c>
      <c r="D3" s="9" t="s">
        <v>117</v>
      </c>
      <c r="E3" s="9" t="s">
        <v>118</v>
      </c>
      <c r="F3" s="9" t="s">
        <v>119</v>
      </c>
      <c r="G3" s="9" t="s">
        <v>120</v>
      </c>
      <c r="H3" s="9" t="s">
        <v>121</v>
      </c>
      <c r="I3" s="9" t="s">
        <v>122</v>
      </c>
      <c r="J3" s="9" t="s">
        <v>123</v>
      </c>
      <c r="K3" s="9" t="s">
        <v>124</v>
      </c>
      <c r="L3" s="9" t="s">
        <v>125</v>
      </c>
      <c r="M3" s="9" t="s">
        <v>126</v>
      </c>
      <c r="N3" s="9" t="s">
        <v>68</v>
      </c>
    </row>
    <row r="4" spans="1:14" ht="15" customHeight="1" x14ac:dyDescent="0.25">
      <c r="A4" s="2" t="s">
        <v>127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5" customHeight="1" x14ac:dyDescent="0.25">
      <c r="A5" s="3" t="s">
        <v>128</v>
      </c>
      <c r="B5" s="7">
        <v>12000</v>
      </c>
      <c r="C5" s="7">
        <v>15000</v>
      </c>
      <c r="D5" s="7">
        <v>18000</v>
      </c>
      <c r="E5" s="7">
        <v>24000</v>
      </c>
      <c r="F5" s="7">
        <v>31000</v>
      </c>
      <c r="G5" s="7">
        <v>38000</v>
      </c>
      <c r="H5" s="7">
        <v>46000</v>
      </c>
      <c r="I5" s="7">
        <v>52000</v>
      </c>
      <c r="J5" s="7">
        <v>58000</v>
      </c>
      <c r="K5" s="7">
        <v>65000</v>
      </c>
      <c r="L5" s="7">
        <v>72000</v>
      </c>
      <c r="M5" s="7">
        <v>80000</v>
      </c>
      <c r="N5" s="22">
        <f>SUM(B5:M5)</f>
        <v>511000</v>
      </c>
    </row>
    <row r="6" spans="1:14" ht="15" customHeight="1" x14ac:dyDescent="0.25">
      <c r="A6" s="2" t="s">
        <v>129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ht="15" customHeight="1" x14ac:dyDescent="0.25">
      <c r="A7" s="1" t="s">
        <v>130</v>
      </c>
      <c r="B7" s="7">
        <v>7000</v>
      </c>
      <c r="C7" s="7">
        <v>10000</v>
      </c>
      <c r="D7" s="7">
        <v>11000</v>
      </c>
      <c r="E7" s="7">
        <v>18000</v>
      </c>
      <c r="F7" s="7">
        <v>21000</v>
      </c>
      <c r="G7" s="7">
        <v>21500</v>
      </c>
      <c r="H7" s="7">
        <v>21500</v>
      </c>
      <c r="I7" s="7">
        <v>25000</v>
      </c>
      <c r="J7" s="7">
        <v>25000</v>
      </c>
      <c r="K7" s="7">
        <v>26000</v>
      </c>
      <c r="L7" s="7">
        <v>27000</v>
      </c>
      <c r="M7" s="7">
        <v>28000</v>
      </c>
      <c r="N7" s="22">
        <f>SUM(B7:M7)</f>
        <v>241000</v>
      </c>
    </row>
    <row r="8" spans="1:14" ht="15" customHeight="1" x14ac:dyDescent="0.25">
      <c r="A8" s="1" t="s">
        <v>131</v>
      </c>
      <c r="B8" s="7">
        <v>2000</v>
      </c>
      <c r="C8" s="7">
        <v>5000</v>
      </c>
      <c r="D8" s="7">
        <v>8000</v>
      </c>
      <c r="E8" s="7">
        <v>18000</v>
      </c>
      <c r="F8" s="7">
        <v>20000</v>
      </c>
      <c r="G8" s="7">
        <v>18000</v>
      </c>
      <c r="H8" s="7">
        <v>16000</v>
      </c>
      <c r="I8" s="7">
        <v>15000</v>
      </c>
      <c r="J8" s="7">
        <v>14000</v>
      </c>
      <c r="K8" s="7">
        <v>13000</v>
      </c>
      <c r="L8" s="7">
        <v>12000</v>
      </c>
      <c r="M8" s="7">
        <v>12000</v>
      </c>
      <c r="N8" s="22">
        <f>SUM(B8:M8)</f>
        <v>153000</v>
      </c>
    </row>
    <row r="9" spans="1:14" ht="15" customHeight="1" x14ac:dyDescent="0.25">
      <c r="A9" s="1" t="s">
        <v>132</v>
      </c>
      <c r="B9" s="7">
        <v>4000</v>
      </c>
      <c r="C9" s="7">
        <v>5000</v>
      </c>
      <c r="D9" s="7">
        <v>5000</v>
      </c>
      <c r="E9" s="7">
        <v>5000</v>
      </c>
      <c r="F9" s="7">
        <v>4000</v>
      </c>
      <c r="G9" s="7">
        <v>3500</v>
      </c>
      <c r="H9" s="7">
        <v>3000</v>
      </c>
      <c r="I9" s="7">
        <v>3000</v>
      </c>
      <c r="J9" s="7">
        <v>3000</v>
      </c>
      <c r="K9" s="7">
        <v>3000</v>
      </c>
      <c r="L9" s="7">
        <v>3000</v>
      </c>
      <c r="M9" s="7">
        <v>3000</v>
      </c>
      <c r="N9" s="22">
        <f>SUM(B9:M9)</f>
        <v>44500</v>
      </c>
    </row>
    <row r="10" spans="1:14" ht="15" customHeight="1" x14ac:dyDescent="0.25">
      <c r="A10" s="1" t="s">
        <v>133</v>
      </c>
      <c r="B10" s="7">
        <v>8000</v>
      </c>
      <c r="C10" s="7">
        <v>3000</v>
      </c>
      <c r="D10" s="7">
        <v>2000</v>
      </c>
      <c r="E10" s="7">
        <v>3000</v>
      </c>
      <c r="F10" s="7">
        <v>2500</v>
      </c>
      <c r="G10" s="7">
        <v>2500</v>
      </c>
      <c r="H10" s="7">
        <v>2500</v>
      </c>
      <c r="I10" s="7">
        <v>2500</v>
      </c>
      <c r="J10" s="7">
        <v>2500</v>
      </c>
      <c r="K10" s="7">
        <v>2500</v>
      </c>
      <c r="L10" s="7">
        <v>2500</v>
      </c>
      <c r="M10" s="7">
        <v>2500</v>
      </c>
      <c r="N10" s="22">
        <f>SUM(B10:M10)</f>
        <v>36000</v>
      </c>
    </row>
    <row r="11" spans="1:14" ht="15" customHeight="1" x14ac:dyDescent="0.25">
      <c r="A11" s="3" t="s">
        <v>134</v>
      </c>
      <c r="B11" s="23">
        <f t="shared" ref="B11:N11" si="0">SUM(B7:B10)</f>
        <v>21000</v>
      </c>
      <c r="C11" s="23">
        <f t="shared" si="0"/>
        <v>23000</v>
      </c>
      <c r="D11" s="23">
        <f t="shared" si="0"/>
        <v>26000</v>
      </c>
      <c r="E11" s="23">
        <f t="shared" si="0"/>
        <v>44000</v>
      </c>
      <c r="F11" s="23">
        <f t="shared" si="0"/>
        <v>47500</v>
      </c>
      <c r="G11" s="23">
        <f t="shared" si="0"/>
        <v>45500</v>
      </c>
      <c r="H11" s="23">
        <f t="shared" si="0"/>
        <v>43000</v>
      </c>
      <c r="I11" s="23">
        <f t="shared" si="0"/>
        <v>45500</v>
      </c>
      <c r="J11" s="23">
        <f t="shared" si="0"/>
        <v>44500</v>
      </c>
      <c r="K11" s="23">
        <f t="shared" si="0"/>
        <v>44500</v>
      </c>
      <c r="L11" s="23">
        <f t="shared" si="0"/>
        <v>44500</v>
      </c>
      <c r="M11" s="23">
        <f t="shared" si="0"/>
        <v>45500</v>
      </c>
      <c r="N11" s="23">
        <f t="shared" si="0"/>
        <v>474500</v>
      </c>
    </row>
    <row r="12" spans="1:14" ht="15" customHeight="1" x14ac:dyDescent="0.25">
      <c r="A12" s="3" t="s">
        <v>135</v>
      </c>
      <c r="B12" s="22">
        <f t="shared" ref="B12:M12" si="1">B5-B11</f>
        <v>-9000</v>
      </c>
      <c r="C12" s="22">
        <f t="shared" si="1"/>
        <v>-8000</v>
      </c>
      <c r="D12" s="22">
        <f t="shared" si="1"/>
        <v>-8000</v>
      </c>
      <c r="E12" s="22">
        <f t="shared" si="1"/>
        <v>-20000</v>
      </c>
      <c r="F12" s="22">
        <f t="shared" si="1"/>
        <v>-16500</v>
      </c>
      <c r="G12" s="22">
        <f t="shared" si="1"/>
        <v>-7500</v>
      </c>
      <c r="H12" s="22">
        <f t="shared" si="1"/>
        <v>3000</v>
      </c>
      <c r="I12" s="22">
        <f t="shared" si="1"/>
        <v>6500</v>
      </c>
      <c r="J12" s="22">
        <f t="shared" si="1"/>
        <v>13500</v>
      </c>
      <c r="K12" s="22">
        <f t="shared" si="1"/>
        <v>20500</v>
      </c>
      <c r="L12" s="22">
        <f t="shared" si="1"/>
        <v>27500</v>
      </c>
      <c r="M12" s="22">
        <f t="shared" si="1"/>
        <v>34500</v>
      </c>
      <c r="N12" s="22">
        <f>SUM(B12:M12)</f>
        <v>36500</v>
      </c>
    </row>
    <row r="14" spans="1:14" ht="15" customHeight="1" x14ac:dyDescent="0.25">
      <c r="A14" s="2" t="s">
        <v>136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5" customHeight="1" x14ac:dyDescent="0.25">
      <c r="A15" s="1" t="s">
        <v>137</v>
      </c>
      <c r="B15" s="39">
        <v>20000</v>
      </c>
      <c r="C15" s="39">
        <v>10000</v>
      </c>
      <c r="D15" s="39">
        <v>5000</v>
      </c>
      <c r="E15" s="39">
        <v>65000</v>
      </c>
      <c r="F15" s="39">
        <v>50000</v>
      </c>
      <c r="G15" s="39">
        <v>30000</v>
      </c>
      <c r="H15" s="39">
        <v>20000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12">
        <f>SUM(B15:M15)</f>
        <v>200000</v>
      </c>
    </row>
    <row r="16" spans="1:14" ht="15" customHeight="1" x14ac:dyDescent="0.25">
      <c r="A16" s="3" t="s">
        <v>138</v>
      </c>
      <c r="B16" s="22">
        <f t="shared" ref="B16:M16" si="2">B12+B15</f>
        <v>11000</v>
      </c>
      <c r="C16" s="22">
        <f t="shared" si="2"/>
        <v>2000</v>
      </c>
      <c r="D16" s="22">
        <f t="shared" si="2"/>
        <v>-3000</v>
      </c>
      <c r="E16" s="22">
        <f t="shared" si="2"/>
        <v>45000</v>
      </c>
      <c r="F16" s="22">
        <f t="shared" si="2"/>
        <v>33500</v>
      </c>
      <c r="G16" s="22">
        <f t="shared" si="2"/>
        <v>22500</v>
      </c>
      <c r="H16" s="22">
        <f t="shared" si="2"/>
        <v>23000</v>
      </c>
      <c r="I16" s="22">
        <f t="shared" si="2"/>
        <v>6500</v>
      </c>
      <c r="J16" s="22">
        <f t="shared" si="2"/>
        <v>13500</v>
      </c>
      <c r="K16" s="22">
        <f t="shared" si="2"/>
        <v>20500</v>
      </c>
      <c r="L16" s="22">
        <f t="shared" si="2"/>
        <v>27500</v>
      </c>
      <c r="M16" s="22">
        <f t="shared" si="2"/>
        <v>34500</v>
      </c>
    </row>
    <row r="17" spans="1:14" ht="15" customHeight="1" x14ac:dyDescent="0.25">
      <c r="A17" s="11" t="s">
        <v>139</v>
      </c>
      <c r="B17" s="12">
        <f>B16</f>
        <v>11000</v>
      </c>
      <c r="C17" s="12">
        <f t="shared" ref="C17:M17" si="3">B17+C16</f>
        <v>13000</v>
      </c>
      <c r="D17" s="12">
        <f t="shared" si="3"/>
        <v>10000</v>
      </c>
      <c r="E17" s="12">
        <f t="shared" si="3"/>
        <v>55000</v>
      </c>
      <c r="F17" s="12">
        <f t="shared" si="3"/>
        <v>88500</v>
      </c>
      <c r="G17" s="12">
        <f t="shared" si="3"/>
        <v>111000</v>
      </c>
      <c r="H17" s="12">
        <f t="shared" si="3"/>
        <v>134000</v>
      </c>
      <c r="I17" s="12">
        <f t="shared" si="3"/>
        <v>140500</v>
      </c>
      <c r="J17" s="12">
        <f t="shared" si="3"/>
        <v>154000</v>
      </c>
      <c r="K17" s="12">
        <f t="shared" si="3"/>
        <v>174500</v>
      </c>
      <c r="L17" s="12">
        <f t="shared" si="3"/>
        <v>202000</v>
      </c>
      <c r="M17" s="12">
        <f t="shared" si="3"/>
        <v>236500</v>
      </c>
    </row>
    <row r="19" spans="1:14" ht="15" customHeight="1" x14ac:dyDescent="0.25">
      <c r="A19" s="36" t="s">
        <v>140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</sheetData>
  <mergeCells count="3">
    <mergeCell ref="A19:N19"/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showGridLines="0" zoomScaleNormal="100" workbookViewId="0">
      <selection sqref="A1:N1"/>
    </sheetView>
  </sheetViews>
  <sheetFormatPr defaultColWidth="8.7109375" defaultRowHeight="15" x14ac:dyDescent="0.25"/>
  <cols>
    <col min="1" max="1" width="42" style="1" customWidth="1"/>
    <col min="2" max="14" width="12" style="1" customWidth="1"/>
  </cols>
  <sheetData>
    <row r="1" spans="1:14" ht="27.75" customHeight="1" x14ac:dyDescent="0.25">
      <c r="A1" s="34" t="s">
        <v>141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25">
      <c r="A2" s="37" t="s">
        <v>142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" customHeight="1" x14ac:dyDescent="0.25">
      <c r="A3" s="9" t="s">
        <v>114</v>
      </c>
      <c r="B3" s="9" t="s">
        <v>115</v>
      </c>
      <c r="C3" s="9" t="s">
        <v>116</v>
      </c>
      <c r="D3" s="9" t="s">
        <v>117</v>
      </c>
      <c r="E3" s="9" t="s">
        <v>118</v>
      </c>
      <c r="F3" s="9" t="s">
        <v>119</v>
      </c>
      <c r="G3" s="9" t="s">
        <v>120</v>
      </c>
      <c r="H3" s="9" t="s">
        <v>121</v>
      </c>
      <c r="I3" s="9" t="s">
        <v>122</v>
      </c>
      <c r="J3" s="9" t="s">
        <v>123</v>
      </c>
      <c r="K3" s="9" t="s">
        <v>124</v>
      </c>
      <c r="L3" s="9" t="s">
        <v>125</v>
      </c>
      <c r="M3" s="9" t="s">
        <v>126</v>
      </c>
      <c r="N3" s="9" t="s">
        <v>68</v>
      </c>
    </row>
    <row r="4" spans="1:14" ht="15" customHeight="1" x14ac:dyDescent="0.25">
      <c r="A4" s="2" t="s">
        <v>143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5" customHeight="1" x14ac:dyDescent="0.25">
      <c r="A5" s="3" t="s">
        <v>144</v>
      </c>
      <c r="B5" s="7">
        <v>0</v>
      </c>
      <c r="C5" s="7">
        <v>0</v>
      </c>
      <c r="D5" s="7">
        <v>0</v>
      </c>
      <c r="E5" s="7">
        <v>5000</v>
      </c>
      <c r="F5" s="7">
        <v>8000</v>
      </c>
      <c r="G5" s="7">
        <v>11000</v>
      </c>
      <c r="H5" s="7">
        <v>14000</v>
      </c>
      <c r="I5" s="7">
        <v>17000</v>
      </c>
      <c r="J5" s="7">
        <v>20000</v>
      </c>
      <c r="K5" s="7">
        <v>23000</v>
      </c>
      <c r="L5" s="7">
        <v>26000</v>
      </c>
      <c r="M5" s="7">
        <v>30000</v>
      </c>
      <c r="N5" s="22">
        <f>SUM(B5:M5)</f>
        <v>154000</v>
      </c>
    </row>
    <row r="6" spans="1:14" ht="15" customHeight="1" x14ac:dyDescent="0.25">
      <c r="A6" s="2" t="s">
        <v>145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ht="15" customHeight="1" x14ac:dyDescent="0.25">
      <c r="A7" s="3" t="s">
        <v>146</v>
      </c>
      <c r="B7" s="22">
        <f t="shared" ref="B7:M7" si="0">B5*0.06</f>
        <v>0</v>
      </c>
      <c r="C7" s="22">
        <f t="shared" si="0"/>
        <v>0</v>
      </c>
      <c r="D7" s="22">
        <f t="shared" si="0"/>
        <v>0</v>
      </c>
      <c r="E7" s="22">
        <f t="shared" si="0"/>
        <v>300</v>
      </c>
      <c r="F7" s="22">
        <f t="shared" si="0"/>
        <v>480</v>
      </c>
      <c r="G7" s="22">
        <f t="shared" si="0"/>
        <v>660</v>
      </c>
      <c r="H7" s="22">
        <f t="shared" si="0"/>
        <v>840</v>
      </c>
      <c r="I7" s="22">
        <f t="shared" si="0"/>
        <v>1020</v>
      </c>
      <c r="J7" s="22">
        <f t="shared" si="0"/>
        <v>1200</v>
      </c>
      <c r="K7" s="22">
        <f t="shared" si="0"/>
        <v>1380</v>
      </c>
      <c r="L7" s="22">
        <f t="shared" si="0"/>
        <v>1560</v>
      </c>
      <c r="M7" s="22">
        <f t="shared" si="0"/>
        <v>1800</v>
      </c>
      <c r="N7" s="22">
        <f>SUM(B7:M7)</f>
        <v>9240</v>
      </c>
    </row>
    <row r="8" spans="1:14" ht="15" customHeight="1" x14ac:dyDescent="0.25">
      <c r="A8" s="3" t="s">
        <v>147</v>
      </c>
      <c r="B8" s="23">
        <f t="shared" ref="B8:M8" si="1">B5-B7</f>
        <v>0</v>
      </c>
      <c r="C8" s="23">
        <f t="shared" si="1"/>
        <v>0</v>
      </c>
      <c r="D8" s="23">
        <f t="shared" si="1"/>
        <v>0</v>
      </c>
      <c r="E8" s="23">
        <f t="shared" si="1"/>
        <v>4700</v>
      </c>
      <c r="F8" s="23">
        <f t="shared" si="1"/>
        <v>7520</v>
      </c>
      <c r="G8" s="23">
        <f t="shared" si="1"/>
        <v>10340</v>
      </c>
      <c r="H8" s="23">
        <f t="shared" si="1"/>
        <v>13160</v>
      </c>
      <c r="I8" s="23">
        <f t="shared" si="1"/>
        <v>15980</v>
      </c>
      <c r="J8" s="23">
        <f t="shared" si="1"/>
        <v>18800</v>
      </c>
      <c r="K8" s="23">
        <f t="shared" si="1"/>
        <v>21620</v>
      </c>
      <c r="L8" s="23">
        <f t="shared" si="1"/>
        <v>24440</v>
      </c>
      <c r="M8" s="23">
        <f t="shared" si="1"/>
        <v>28200</v>
      </c>
      <c r="N8" s="23">
        <f>SUM(B8:M8)</f>
        <v>144760</v>
      </c>
    </row>
    <row r="9" spans="1:14" ht="15" customHeight="1" x14ac:dyDescent="0.25">
      <c r="A9" s="2" t="s">
        <v>148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ht="15" customHeight="1" x14ac:dyDescent="0.25">
      <c r="A10" s="11" t="s">
        <v>149</v>
      </c>
      <c r="B10" s="12">
        <f t="shared" ref="B10:M10" si="2">B8*0.5</f>
        <v>0</v>
      </c>
      <c r="C10" s="12">
        <f t="shared" si="2"/>
        <v>0</v>
      </c>
      <c r="D10" s="12">
        <f t="shared" si="2"/>
        <v>0</v>
      </c>
      <c r="E10" s="12">
        <f t="shared" si="2"/>
        <v>2350</v>
      </c>
      <c r="F10" s="12">
        <f t="shared" si="2"/>
        <v>3760</v>
      </c>
      <c r="G10" s="12">
        <f t="shared" si="2"/>
        <v>5170</v>
      </c>
      <c r="H10" s="12">
        <f t="shared" si="2"/>
        <v>6580</v>
      </c>
      <c r="I10" s="12">
        <f t="shared" si="2"/>
        <v>7990</v>
      </c>
      <c r="J10" s="12">
        <f t="shared" si="2"/>
        <v>9400</v>
      </c>
      <c r="K10" s="12">
        <f t="shared" si="2"/>
        <v>10810</v>
      </c>
      <c r="L10" s="12">
        <f t="shared" si="2"/>
        <v>12220</v>
      </c>
      <c r="M10" s="12">
        <f t="shared" si="2"/>
        <v>14100</v>
      </c>
      <c r="N10" s="12">
        <f>SUM(B10:M10)</f>
        <v>72380</v>
      </c>
    </row>
    <row r="11" spans="1:14" ht="15" customHeight="1" x14ac:dyDescent="0.25">
      <c r="A11" s="3" t="s">
        <v>150</v>
      </c>
      <c r="B11" s="22">
        <f t="shared" ref="B11:M11" si="3">B8*0.5</f>
        <v>0</v>
      </c>
      <c r="C11" s="22">
        <f t="shared" si="3"/>
        <v>0</v>
      </c>
      <c r="D11" s="22">
        <f t="shared" si="3"/>
        <v>0</v>
      </c>
      <c r="E11" s="22">
        <f t="shared" si="3"/>
        <v>2350</v>
      </c>
      <c r="F11" s="22">
        <f t="shared" si="3"/>
        <v>3760</v>
      </c>
      <c r="G11" s="22">
        <f t="shared" si="3"/>
        <v>5170</v>
      </c>
      <c r="H11" s="22">
        <f t="shared" si="3"/>
        <v>6580</v>
      </c>
      <c r="I11" s="22">
        <f t="shared" si="3"/>
        <v>7990</v>
      </c>
      <c r="J11" s="22">
        <f t="shared" si="3"/>
        <v>9400</v>
      </c>
      <c r="K11" s="22">
        <f t="shared" si="3"/>
        <v>10810</v>
      </c>
      <c r="L11" s="22">
        <f t="shared" si="3"/>
        <v>12220</v>
      </c>
      <c r="M11" s="22">
        <f t="shared" si="3"/>
        <v>14100</v>
      </c>
      <c r="N11" s="22">
        <f>SUM(B11:M11)</f>
        <v>72380</v>
      </c>
    </row>
    <row r="12" spans="1:14" ht="15" customHeight="1" x14ac:dyDescent="0.25">
      <c r="A12" s="18" t="s">
        <v>151</v>
      </c>
      <c r="B12" s="24">
        <f>B10</f>
        <v>0</v>
      </c>
      <c r="C12" s="24">
        <f t="shared" ref="C12:M12" si="4">B12+C10</f>
        <v>0</v>
      </c>
      <c r="D12" s="24">
        <f t="shared" si="4"/>
        <v>0</v>
      </c>
      <c r="E12" s="24">
        <f t="shared" si="4"/>
        <v>2350</v>
      </c>
      <c r="F12" s="24">
        <f t="shared" si="4"/>
        <v>6110</v>
      </c>
      <c r="G12" s="24">
        <f t="shared" si="4"/>
        <v>11280</v>
      </c>
      <c r="H12" s="24">
        <f t="shared" si="4"/>
        <v>17860</v>
      </c>
      <c r="I12" s="24">
        <f t="shared" si="4"/>
        <v>25850</v>
      </c>
      <c r="J12" s="24">
        <f t="shared" si="4"/>
        <v>35250</v>
      </c>
      <c r="K12" s="24">
        <f t="shared" si="4"/>
        <v>46060</v>
      </c>
      <c r="L12" s="24">
        <f t="shared" si="4"/>
        <v>58280</v>
      </c>
      <c r="M12" s="24">
        <f t="shared" si="4"/>
        <v>72380</v>
      </c>
    </row>
    <row r="14" spans="1:14" ht="21.75" customHeight="1" x14ac:dyDescent="0.25">
      <c r="A14" s="36" t="s">
        <v>152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6" spans="1:14" ht="15" customHeight="1" x14ac:dyDescent="0.25">
      <c r="A16" s="38" t="s">
        <v>153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</sheetData>
  <mergeCells count="4">
    <mergeCell ref="A2:N2"/>
    <mergeCell ref="A14:N14"/>
    <mergeCell ref="A16:N16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tabSelected="1" zoomScaleNormal="100" workbookViewId="0">
      <selection activeCell="D25" sqref="D25"/>
    </sheetView>
  </sheetViews>
  <sheetFormatPr defaultColWidth="8.7109375" defaultRowHeight="15" x14ac:dyDescent="0.25"/>
  <cols>
    <col min="1" max="1" width="28" style="1" customWidth="1"/>
    <col min="2" max="2" width="50" style="1" customWidth="1"/>
    <col min="3" max="3" width="15" style="1" customWidth="1"/>
    <col min="4" max="4" width="22" style="1" customWidth="1"/>
    <col min="5" max="5" width="45" style="1" customWidth="1"/>
  </cols>
  <sheetData>
    <row r="1" spans="1:5" ht="27.75" customHeight="1" x14ac:dyDescent="0.25">
      <c r="A1" s="34" t="s">
        <v>154</v>
      </c>
      <c r="B1" s="29"/>
      <c r="C1" s="29"/>
      <c r="D1" s="29"/>
      <c r="E1" s="29"/>
    </row>
    <row r="3" spans="1:5" ht="15" customHeight="1" x14ac:dyDescent="0.25">
      <c r="A3" s="9" t="s">
        <v>56</v>
      </c>
      <c r="B3" s="9" t="s">
        <v>155</v>
      </c>
      <c r="C3" s="9" t="s">
        <v>57</v>
      </c>
      <c r="D3" s="9" t="s">
        <v>156</v>
      </c>
      <c r="E3" s="9" t="s">
        <v>59</v>
      </c>
    </row>
    <row r="4" spans="1:5" ht="15" customHeight="1" x14ac:dyDescent="0.25">
      <c r="A4" s="3" t="s">
        <v>157</v>
      </c>
      <c r="B4" s="1" t="s">
        <v>158</v>
      </c>
      <c r="C4" s="7">
        <v>30000</v>
      </c>
      <c r="D4" s="25" t="s">
        <v>159</v>
      </c>
      <c r="E4" s="5" t="s">
        <v>160</v>
      </c>
    </row>
    <row r="5" spans="1:5" ht="15" customHeight="1" x14ac:dyDescent="0.25">
      <c r="A5" s="3" t="s">
        <v>157</v>
      </c>
      <c r="B5" s="1" t="s">
        <v>161</v>
      </c>
      <c r="C5" s="7">
        <v>30000</v>
      </c>
      <c r="D5" s="25" t="s">
        <v>162</v>
      </c>
      <c r="E5" s="5" t="s">
        <v>163</v>
      </c>
    </row>
    <row r="6" spans="1:5" ht="15" customHeight="1" x14ac:dyDescent="0.25">
      <c r="A6" s="3" t="s">
        <v>157</v>
      </c>
      <c r="B6" s="1" t="s">
        <v>164</v>
      </c>
      <c r="C6" s="7">
        <v>30000</v>
      </c>
      <c r="D6" s="25" t="s">
        <v>165</v>
      </c>
      <c r="E6" s="5" t="s">
        <v>166</v>
      </c>
    </row>
    <row r="7" spans="1:5" ht="15" customHeight="1" x14ac:dyDescent="0.25">
      <c r="A7" s="3" t="s">
        <v>157</v>
      </c>
      <c r="B7" s="1" t="s">
        <v>167</v>
      </c>
      <c r="C7" s="7">
        <v>10000</v>
      </c>
      <c r="D7" s="25" t="s">
        <v>168</v>
      </c>
      <c r="E7" s="5" t="s">
        <v>169</v>
      </c>
    </row>
    <row r="8" spans="1:5" ht="15" customHeight="1" x14ac:dyDescent="0.25">
      <c r="A8" s="3" t="s">
        <v>62</v>
      </c>
      <c r="B8" s="1" t="s">
        <v>215</v>
      </c>
      <c r="C8" s="7">
        <v>16000</v>
      </c>
      <c r="D8" s="25" t="s">
        <v>170</v>
      </c>
      <c r="E8" s="5" t="s">
        <v>171</v>
      </c>
    </row>
    <row r="9" spans="1:5" ht="15" customHeight="1" x14ac:dyDescent="0.25">
      <c r="A9" s="3" t="s">
        <v>62</v>
      </c>
      <c r="B9" s="1" t="s">
        <v>172</v>
      </c>
      <c r="C9" s="7">
        <v>36000</v>
      </c>
      <c r="D9" s="25" t="s">
        <v>173</v>
      </c>
      <c r="E9" s="5" t="s">
        <v>174</v>
      </c>
    </row>
    <row r="10" spans="1:5" ht="15" customHeight="1" x14ac:dyDescent="0.25">
      <c r="A10" s="3" t="s">
        <v>62</v>
      </c>
      <c r="B10" s="1" t="s">
        <v>175</v>
      </c>
      <c r="C10" s="7">
        <v>8000</v>
      </c>
      <c r="D10" s="25" t="s">
        <v>165</v>
      </c>
      <c r="E10" s="5" t="s">
        <v>176</v>
      </c>
    </row>
    <row r="11" spans="1:5" ht="15" customHeight="1" x14ac:dyDescent="0.25">
      <c r="A11" s="3" t="s">
        <v>177</v>
      </c>
      <c r="B11" s="1" t="s">
        <v>178</v>
      </c>
      <c r="C11" s="7">
        <v>12000</v>
      </c>
      <c r="D11" s="25" t="s">
        <v>179</v>
      </c>
      <c r="E11" s="5" t="s">
        <v>180</v>
      </c>
    </row>
    <row r="12" spans="1:5" ht="15" customHeight="1" x14ac:dyDescent="0.25">
      <c r="A12" s="3" t="s">
        <v>177</v>
      </c>
      <c r="B12" s="1" t="s">
        <v>181</v>
      </c>
      <c r="C12" s="7">
        <v>8000</v>
      </c>
      <c r="D12" s="25" t="s">
        <v>159</v>
      </c>
      <c r="E12" s="5" t="s">
        <v>182</v>
      </c>
    </row>
    <row r="13" spans="1:5" ht="15" customHeight="1" x14ac:dyDescent="0.25">
      <c r="A13" s="3" t="s">
        <v>177</v>
      </c>
      <c r="B13" s="1" t="s">
        <v>183</v>
      </c>
      <c r="C13" s="7">
        <v>5000</v>
      </c>
      <c r="D13" s="25" t="s">
        <v>184</v>
      </c>
      <c r="E13" s="5" t="s">
        <v>185</v>
      </c>
    </row>
    <row r="14" spans="1:5" ht="15" customHeight="1" x14ac:dyDescent="0.25">
      <c r="A14" s="3" t="s">
        <v>186</v>
      </c>
      <c r="B14" s="1" t="s">
        <v>187</v>
      </c>
      <c r="C14" s="7">
        <v>5000</v>
      </c>
      <c r="D14" s="25" t="s">
        <v>188</v>
      </c>
      <c r="E14" s="5" t="s">
        <v>189</v>
      </c>
    </row>
    <row r="15" spans="1:5" ht="15" customHeight="1" x14ac:dyDescent="0.25">
      <c r="A15" s="3" t="s">
        <v>186</v>
      </c>
      <c r="B15" s="1" t="s">
        <v>190</v>
      </c>
      <c r="C15" s="7">
        <v>5000</v>
      </c>
      <c r="D15" s="25" t="s">
        <v>191</v>
      </c>
      <c r="E15" s="5" t="s">
        <v>192</v>
      </c>
    </row>
    <row r="16" spans="1:5" ht="15" customHeight="1" x14ac:dyDescent="0.25">
      <c r="A16" s="3" t="s">
        <v>186</v>
      </c>
      <c r="B16" s="1" t="s">
        <v>193</v>
      </c>
      <c r="C16" s="7">
        <v>1000</v>
      </c>
      <c r="D16" s="25" t="s">
        <v>194</v>
      </c>
      <c r="E16" s="5" t="s">
        <v>195</v>
      </c>
    </row>
    <row r="17" spans="1:5" ht="15" customHeight="1" x14ac:dyDescent="0.25">
      <c r="A17" s="3" t="s">
        <v>186</v>
      </c>
      <c r="B17" s="1" t="s">
        <v>196</v>
      </c>
      <c r="C17" s="7">
        <v>2000</v>
      </c>
      <c r="D17" s="25" t="s">
        <v>197</v>
      </c>
      <c r="E17" s="5" t="s">
        <v>198</v>
      </c>
    </row>
    <row r="18" spans="1:5" ht="15" customHeight="1" x14ac:dyDescent="0.25">
      <c r="A18" s="3" t="s">
        <v>186</v>
      </c>
      <c r="B18" s="1" t="s">
        <v>199</v>
      </c>
      <c r="C18" s="7">
        <v>2000</v>
      </c>
      <c r="D18" s="25" t="s">
        <v>200</v>
      </c>
      <c r="E18" s="5" t="s">
        <v>201</v>
      </c>
    </row>
    <row r="19" spans="1:5" ht="15" customHeight="1" x14ac:dyDescent="0.25">
      <c r="A19" s="26" t="s">
        <v>68</v>
      </c>
      <c r="B19" s="14"/>
      <c r="C19" s="27">
        <f>SUM(C4:C18)</f>
        <v>200000</v>
      </c>
      <c r="D19" s="14"/>
      <c r="E19" s="14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showGridLines="0" zoomScaleNormal="100" workbookViewId="0">
      <selection activeCell="D31" sqref="D31"/>
    </sheetView>
  </sheetViews>
  <sheetFormatPr defaultColWidth="8.7109375" defaultRowHeight="15" x14ac:dyDescent="0.25"/>
  <cols>
    <col min="1" max="1" width="42" style="1" customWidth="1"/>
    <col min="2" max="14" width="11" style="1" customWidth="1"/>
  </cols>
  <sheetData>
    <row r="1" spans="1:14" ht="27.75" customHeight="1" x14ac:dyDescent="0.25">
      <c r="A1" s="34" t="s">
        <v>202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25">
      <c r="A2" s="37" t="s">
        <v>203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" customHeight="1" x14ac:dyDescent="0.25">
      <c r="A3" s="9" t="s">
        <v>114</v>
      </c>
      <c r="B3" s="9" t="s">
        <v>115</v>
      </c>
      <c r="C3" s="9" t="s">
        <v>116</v>
      </c>
      <c r="D3" s="9" t="s">
        <v>117</v>
      </c>
      <c r="E3" s="9" t="s">
        <v>118</v>
      </c>
      <c r="F3" s="9" t="s">
        <v>119</v>
      </c>
      <c r="G3" s="9" t="s">
        <v>120</v>
      </c>
      <c r="H3" s="9" t="s">
        <v>121</v>
      </c>
      <c r="I3" s="9" t="s">
        <v>122</v>
      </c>
      <c r="J3" s="9" t="s">
        <v>123</v>
      </c>
      <c r="K3" s="9" t="s">
        <v>124</v>
      </c>
      <c r="L3" s="9" t="s">
        <v>125</v>
      </c>
      <c r="M3" s="9" t="s">
        <v>126</v>
      </c>
      <c r="N3" s="9" t="s">
        <v>68</v>
      </c>
    </row>
    <row r="4" spans="1:14" ht="15" customHeight="1" x14ac:dyDescent="0.25">
      <c r="A4" s="2" t="s">
        <v>204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5" customHeight="1" x14ac:dyDescent="0.25">
      <c r="A5" s="3" t="s">
        <v>24</v>
      </c>
      <c r="B5" s="7">
        <v>8000</v>
      </c>
      <c r="C5" s="7">
        <v>8500</v>
      </c>
      <c r="D5" s="7">
        <v>9000</v>
      </c>
      <c r="E5" s="7">
        <v>10500</v>
      </c>
      <c r="F5" s="7">
        <v>12000</v>
      </c>
      <c r="G5" s="7">
        <v>13500</v>
      </c>
      <c r="H5" s="7">
        <v>15000</v>
      </c>
      <c r="I5" s="7">
        <v>16500</v>
      </c>
      <c r="J5" s="7">
        <v>18000</v>
      </c>
      <c r="K5" s="7">
        <v>19500</v>
      </c>
      <c r="L5" s="7">
        <v>21000</v>
      </c>
      <c r="M5" s="7">
        <v>22000</v>
      </c>
    </row>
    <row r="6" spans="1:14" ht="15" customHeight="1" x14ac:dyDescent="0.25">
      <c r="A6" s="1" t="s">
        <v>205</v>
      </c>
      <c r="B6" s="7">
        <v>3000</v>
      </c>
      <c r="C6" s="7">
        <v>5000</v>
      </c>
      <c r="D6" s="7">
        <v>7000</v>
      </c>
      <c r="E6" s="7">
        <v>10500</v>
      </c>
      <c r="F6" s="7">
        <v>14500</v>
      </c>
      <c r="G6" s="7">
        <v>19000</v>
      </c>
      <c r="H6" s="7">
        <v>24000</v>
      </c>
      <c r="I6" s="7">
        <v>28000</v>
      </c>
      <c r="J6" s="7">
        <v>32000</v>
      </c>
      <c r="K6" s="7">
        <v>36500</v>
      </c>
      <c r="L6" s="7">
        <v>41000</v>
      </c>
      <c r="M6" s="7">
        <v>47000</v>
      </c>
    </row>
    <row r="7" spans="1:14" ht="15" customHeight="1" x14ac:dyDescent="0.25">
      <c r="A7" s="1" t="s">
        <v>206</v>
      </c>
      <c r="B7" s="7">
        <v>1000</v>
      </c>
      <c r="C7" s="7">
        <v>1500</v>
      </c>
      <c r="D7" s="7">
        <v>2000</v>
      </c>
      <c r="E7" s="7">
        <v>3000</v>
      </c>
      <c r="F7" s="7">
        <v>4500</v>
      </c>
      <c r="G7" s="7">
        <v>5500</v>
      </c>
      <c r="H7" s="7">
        <v>7000</v>
      </c>
      <c r="I7" s="7">
        <v>7500</v>
      </c>
      <c r="J7" s="7">
        <v>8000</v>
      </c>
      <c r="K7" s="7">
        <v>9000</v>
      </c>
      <c r="L7" s="7">
        <v>10000</v>
      </c>
      <c r="M7" s="7">
        <v>11000</v>
      </c>
    </row>
    <row r="8" spans="1:14" ht="15" customHeight="1" x14ac:dyDescent="0.25">
      <c r="A8" s="11" t="s">
        <v>207</v>
      </c>
      <c r="B8" s="12">
        <f t="shared" ref="B8:M8" si="0">SUM(B5:B7)</f>
        <v>12000</v>
      </c>
      <c r="C8" s="12">
        <f t="shared" si="0"/>
        <v>15000</v>
      </c>
      <c r="D8" s="12">
        <f t="shared" si="0"/>
        <v>18000</v>
      </c>
      <c r="E8" s="12">
        <f t="shared" si="0"/>
        <v>24000</v>
      </c>
      <c r="F8" s="12">
        <f t="shared" si="0"/>
        <v>31000</v>
      </c>
      <c r="G8" s="12">
        <f t="shared" si="0"/>
        <v>38000</v>
      </c>
      <c r="H8" s="12">
        <f t="shared" si="0"/>
        <v>46000</v>
      </c>
      <c r="I8" s="12">
        <f t="shared" si="0"/>
        <v>52000</v>
      </c>
      <c r="J8" s="12">
        <f t="shared" si="0"/>
        <v>58000</v>
      </c>
      <c r="K8" s="12">
        <f t="shared" si="0"/>
        <v>65000</v>
      </c>
      <c r="L8" s="12">
        <f t="shared" si="0"/>
        <v>72000</v>
      </c>
      <c r="M8" s="12">
        <f t="shared" si="0"/>
        <v>80000</v>
      </c>
      <c r="N8" s="12">
        <f>SUM(B8:M8)</f>
        <v>511000</v>
      </c>
    </row>
    <row r="9" spans="1:14" ht="15" customHeight="1" x14ac:dyDescent="0.25">
      <c r="A9" s="5" t="s">
        <v>208</v>
      </c>
      <c r="B9" s="10">
        <f t="shared" ref="B9:M9" si="1">B5/B8</f>
        <v>0.66666666666666663</v>
      </c>
      <c r="C9" s="10">
        <f t="shared" si="1"/>
        <v>0.56666666666666665</v>
      </c>
      <c r="D9" s="10">
        <f t="shared" si="1"/>
        <v>0.5</v>
      </c>
      <c r="E9" s="10">
        <f t="shared" si="1"/>
        <v>0.4375</v>
      </c>
      <c r="F9" s="10">
        <f t="shared" si="1"/>
        <v>0.38709677419354838</v>
      </c>
      <c r="G9" s="10">
        <f t="shared" si="1"/>
        <v>0.35526315789473684</v>
      </c>
      <c r="H9" s="10">
        <f t="shared" si="1"/>
        <v>0.32608695652173914</v>
      </c>
      <c r="I9" s="10">
        <f t="shared" si="1"/>
        <v>0.31730769230769229</v>
      </c>
      <c r="J9" s="10">
        <f t="shared" si="1"/>
        <v>0.31034482758620691</v>
      </c>
      <c r="K9" s="10">
        <f t="shared" si="1"/>
        <v>0.3</v>
      </c>
      <c r="L9" s="10">
        <f t="shared" si="1"/>
        <v>0.29166666666666669</v>
      </c>
      <c r="M9" s="10">
        <f t="shared" si="1"/>
        <v>0.27500000000000002</v>
      </c>
    </row>
    <row r="11" spans="1:14" ht="15" customHeight="1" x14ac:dyDescent="0.25">
      <c r="A11" s="2" t="s">
        <v>209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5" customHeight="1" x14ac:dyDescent="0.25">
      <c r="A12" s="1" t="s">
        <v>210</v>
      </c>
      <c r="B12" s="6">
        <v>21</v>
      </c>
      <c r="C12" s="6">
        <v>23</v>
      </c>
      <c r="D12" s="6">
        <v>25</v>
      </c>
      <c r="E12" s="6">
        <v>28</v>
      </c>
      <c r="F12" s="6">
        <v>32</v>
      </c>
      <c r="G12" s="6">
        <v>36</v>
      </c>
      <c r="H12" s="6">
        <v>40</v>
      </c>
      <c r="I12" s="6">
        <v>42</v>
      </c>
      <c r="J12" s="6">
        <v>44</v>
      </c>
      <c r="K12" s="6">
        <v>45</v>
      </c>
      <c r="L12" s="6">
        <v>47</v>
      </c>
      <c r="M12" s="6">
        <v>48</v>
      </c>
    </row>
    <row r="13" spans="1:14" ht="15" customHeight="1" x14ac:dyDescent="0.25">
      <c r="A13" s="1" t="s">
        <v>211</v>
      </c>
      <c r="B13" s="6">
        <v>4</v>
      </c>
      <c r="C13" s="6">
        <v>5</v>
      </c>
      <c r="D13" s="6">
        <v>6</v>
      </c>
      <c r="E13" s="6">
        <v>7</v>
      </c>
      <c r="F13" s="6">
        <v>9</v>
      </c>
      <c r="G13" s="6">
        <v>11</v>
      </c>
      <c r="H13" s="6">
        <v>13</v>
      </c>
      <c r="I13" s="6">
        <v>15</v>
      </c>
      <c r="J13" s="6">
        <v>17</v>
      </c>
      <c r="K13" s="6">
        <v>19</v>
      </c>
      <c r="L13" s="6">
        <v>21</v>
      </c>
      <c r="M13" s="6">
        <v>23</v>
      </c>
    </row>
    <row r="14" spans="1:14" ht="15" customHeight="1" x14ac:dyDescent="0.25">
      <c r="A14" s="1" t="s">
        <v>212</v>
      </c>
      <c r="B14" s="6">
        <v>1</v>
      </c>
      <c r="C14" s="6">
        <v>2</v>
      </c>
      <c r="D14" s="6">
        <v>2</v>
      </c>
      <c r="E14" s="6">
        <v>3</v>
      </c>
      <c r="F14" s="6">
        <v>4</v>
      </c>
      <c r="G14" s="6">
        <v>4</v>
      </c>
      <c r="H14" s="6">
        <v>4</v>
      </c>
      <c r="I14" s="6">
        <v>2</v>
      </c>
      <c r="J14" s="6">
        <v>2</v>
      </c>
      <c r="K14" s="6">
        <v>1</v>
      </c>
      <c r="L14" s="6">
        <v>2</v>
      </c>
      <c r="M14" s="6">
        <v>1</v>
      </c>
    </row>
    <row r="15" spans="1:14" ht="15" customHeight="1" x14ac:dyDescent="0.25">
      <c r="A15" s="3" t="s">
        <v>213</v>
      </c>
      <c r="B15" s="22">
        <f t="shared" ref="B15:M15" si="2">B8/B12</f>
        <v>571.42857142857144</v>
      </c>
      <c r="C15" s="22">
        <f t="shared" si="2"/>
        <v>652.17391304347825</v>
      </c>
      <c r="D15" s="22">
        <f t="shared" si="2"/>
        <v>720</v>
      </c>
      <c r="E15" s="22">
        <f t="shared" si="2"/>
        <v>857.14285714285711</v>
      </c>
      <c r="F15" s="22">
        <f t="shared" si="2"/>
        <v>968.75</v>
      </c>
      <c r="G15" s="22">
        <f t="shared" si="2"/>
        <v>1055.5555555555557</v>
      </c>
      <c r="H15" s="22">
        <f t="shared" si="2"/>
        <v>1150</v>
      </c>
      <c r="I15" s="22">
        <f t="shared" si="2"/>
        <v>1238.0952380952381</v>
      </c>
      <c r="J15" s="22">
        <f t="shared" si="2"/>
        <v>1318.1818181818182</v>
      </c>
      <c r="K15" s="22">
        <f t="shared" si="2"/>
        <v>1444.4444444444443</v>
      </c>
      <c r="L15" s="22">
        <f t="shared" si="2"/>
        <v>1531.9148936170213</v>
      </c>
      <c r="M15" s="22">
        <f t="shared" si="2"/>
        <v>1666.6666666666667</v>
      </c>
    </row>
  </sheetData>
  <mergeCells count="2"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Сводка</vt:lpstr>
      <vt:lpstr>Cash Flow</vt:lpstr>
      <vt:lpstr>РФ Трек</vt:lpstr>
      <vt:lpstr>Распределение 200K</vt:lpstr>
      <vt:lpstr>Прогноз роста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 Tarasenko</cp:lastModifiedBy>
  <cp:revision>0</cp:revision>
  <dcterms:created xsi:type="dcterms:W3CDTF">2026-05-21T08:52:12Z</dcterms:created>
  <dcterms:modified xsi:type="dcterms:W3CDTF">2026-05-21T09:50:23Z</dcterms:modified>
  <dc:language>en-US</dc:language>
</cp:coreProperties>
</file>